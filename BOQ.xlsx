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B-L10" sheetId="1" r:id="rId4"/>
  </sheets>
</workbook>
</file>

<file path=xl/sharedStrings.xml><?xml version="1.0" encoding="utf-8"?>
<sst xmlns="http://schemas.openxmlformats.org/spreadsheetml/2006/main" uniqueCount="155">
  <si>
    <t>WBS_1</t>
  </si>
  <si>
    <t>WBS_2</t>
  </si>
  <si>
    <t>WBS_3</t>
  </si>
  <si>
    <t>WBS_4</t>
  </si>
  <si>
    <t>DESCRIPTION</t>
  </si>
  <si>
    <t>UNIT</t>
  </si>
  <si>
    <t>SUB</t>
  </si>
  <si>
    <t>L1</t>
  </si>
  <si>
    <t>1M</t>
  </si>
  <si>
    <t>L2</t>
  </si>
  <si>
    <t>L3</t>
  </si>
  <si>
    <t>CM1A/B</t>
  </si>
  <si>
    <t>CM2A/B</t>
  </si>
  <si>
    <t>CM3A/B</t>
  </si>
  <si>
    <t>CM4A/B</t>
  </si>
  <si>
    <t>CM5A/B</t>
  </si>
  <si>
    <t>CM6A/B</t>
  </si>
  <si>
    <t>L4</t>
  </si>
  <si>
    <t>L4M</t>
  </si>
  <si>
    <t>QTY</t>
  </si>
  <si>
    <t>MAT.</t>
  </si>
  <si>
    <t>LAB.</t>
  </si>
  <si>
    <t>TOTAL</t>
  </si>
  <si>
    <t>AMOUNT</t>
  </si>
  <si>
    <t>Percent_Wt</t>
  </si>
  <si>
    <t>STRUCTURE</t>
  </si>
  <si>
    <t>SUBSTRUCTURE</t>
  </si>
  <si>
    <t>FOUNDATION</t>
  </si>
  <si>
    <t>Piling</t>
  </si>
  <si>
    <t>1.00m dia. pile cut-off.</t>
  </si>
  <si>
    <t>No.</t>
  </si>
  <si>
    <t>1.20m dia. pile cut-off.</t>
  </si>
  <si>
    <t>1.50m dia. pile cut-off.</t>
  </si>
  <si>
    <t>Pile head disposal, off-site.</t>
  </si>
  <si>
    <t>Standard Foundation [F1-F12]</t>
  </si>
  <si>
    <t>Excavation to footing</t>
  </si>
  <si>
    <t>M3</t>
  </si>
  <si>
    <t>Remove excavation material, off-site</t>
  </si>
  <si>
    <t>Back fill by existing soil.</t>
  </si>
  <si>
    <t>Existing grade compaction</t>
  </si>
  <si>
    <t>M2</t>
  </si>
  <si>
    <r>
      <rPr>
        <sz val="10"/>
        <color indexed="8"/>
        <rFont val="Arial"/>
      </rPr>
      <t xml:space="preserve">Compacted sand, </t>
    </r>
    <r>
      <rPr>
        <strike val="1"/>
        <sz val="10"/>
        <color indexed="8"/>
        <rFont val="Arial"/>
      </rPr>
      <t>50</t>
    </r>
    <r>
      <rPr>
        <sz val="10"/>
        <color indexed="18"/>
        <rFont val="Arial"/>
      </rPr>
      <t xml:space="preserve"> 100 </t>
    </r>
    <r>
      <rPr>
        <sz val="10"/>
        <color indexed="8"/>
        <rFont val="Arial"/>
      </rPr>
      <t>mm thick</t>
    </r>
  </si>
  <si>
    <r>
      <rPr>
        <sz val="10"/>
        <color indexed="8"/>
        <rFont val="Arial"/>
      </rPr>
      <t xml:space="preserve">Lean concrete, </t>
    </r>
    <r>
      <rPr>
        <strike val="1"/>
        <sz val="10"/>
        <color indexed="8"/>
        <rFont val="Arial"/>
      </rPr>
      <t>50</t>
    </r>
    <r>
      <rPr>
        <sz val="10"/>
        <color indexed="8"/>
        <rFont val="Arial"/>
      </rPr>
      <t xml:space="preserve"> </t>
    </r>
    <r>
      <rPr>
        <sz val="10"/>
        <color indexed="18"/>
        <rFont val="Arial"/>
      </rPr>
      <t>100</t>
    </r>
    <r>
      <rPr>
        <sz val="10"/>
        <color indexed="8"/>
        <rFont val="Arial"/>
      </rPr>
      <t xml:space="preserve"> mm thick</t>
    </r>
  </si>
  <si>
    <t>Concrete 320ksc. cylinder test</t>
  </si>
  <si>
    <t>Formworks</t>
  </si>
  <si>
    <t>Rebar SR24, 6mm dia.</t>
  </si>
  <si>
    <t>KG.</t>
  </si>
  <si>
    <t>Rebar SR24, 9mm dia.</t>
  </si>
  <si>
    <t>Rebar SD40, 10mm dia.</t>
  </si>
  <si>
    <t>Rebar SD40, 12mm dia.</t>
  </si>
  <si>
    <t>Rebar SD40, 16mm dia.</t>
  </si>
  <si>
    <t>Rebar SD50, 20mm dia.</t>
  </si>
  <si>
    <t>Rebar SD50, 25mm dia.</t>
  </si>
  <si>
    <t>Rebar SD50, 28mm dia.</t>
  </si>
  <si>
    <t>Rebar SD50, 32mm dia.</t>
  </si>
  <si>
    <t>Allow for Shear Key</t>
  </si>
  <si>
    <t>Mat Foundation [F66]</t>
  </si>
  <si>
    <r>
      <rPr>
        <sz val="10"/>
        <color indexed="8"/>
        <rFont val="Arial"/>
      </rPr>
      <t xml:space="preserve">Excavation to footing </t>
    </r>
    <r>
      <rPr>
        <sz val="10"/>
        <color indexed="18"/>
        <rFont val="Arial"/>
      </rPr>
      <t>(Include in F1,F2)</t>
    </r>
  </si>
  <si>
    <r>
      <rPr>
        <sz val="10"/>
        <color indexed="8"/>
        <rFont val="Arial"/>
      </rPr>
      <t>Remove excavation material, off-site</t>
    </r>
    <r>
      <rPr>
        <sz val="10"/>
        <color indexed="18"/>
        <rFont val="Arial"/>
      </rPr>
      <t xml:space="preserve"> (Include in F1,F2)</t>
    </r>
  </si>
  <si>
    <t>Back fill by existing soil. (Include in F1,F2)</t>
  </si>
  <si>
    <t>Curring concrete</t>
  </si>
  <si>
    <t>Soil slope stabilization</t>
  </si>
  <si>
    <t>Allowance for temporary slope protection.</t>
  </si>
  <si>
    <t>Item</t>
  </si>
  <si>
    <t>BASEMENT WALL (EARTH RETAINING WALL)</t>
  </si>
  <si>
    <t>Reinforcement Concrete Wall [UGWx]</t>
  </si>
  <si>
    <r>
      <rPr>
        <sz val="10"/>
        <color indexed="8"/>
        <rFont val="Arial"/>
      </rPr>
      <t xml:space="preserve">Concrete 320ksc. cylinder test </t>
    </r>
    <r>
      <rPr>
        <sz val="10"/>
        <color indexed="18"/>
        <rFont val="Arial"/>
      </rPr>
      <t xml:space="preserve"> ผสมน้ำยากันซึม</t>
    </r>
  </si>
  <si>
    <t>Kg.</t>
  </si>
  <si>
    <t>Water/Damp proof system</t>
  </si>
  <si>
    <r>
      <rPr>
        <sz val="10"/>
        <color indexed="8"/>
        <rFont val="Arial"/>
      </rPr>
      <t>Waterproof membrane to external wall.</t>
    </r>
    <r>
      <rPr>
        <sz val="10"/>
        <color indexed="18"/>
        <rFont val="Arial"/>
      </rPr>
      <t>(Bituthene 3000)</t>
    </r>
  </si>
  <si>
    <r>
      <rPr>
        <sz val="10"/>
        <color indexed="8"/>
        <rFont val="Arial"/>
      </rPr>
      <t xml:space="preserve">Chemical coating to internal wall. </t>
    </r>
    <r>
      <rPr>
        <sz val="10"/>
        <color indexed="18"/>
        <rFont val="Arial"/>
      </rPr>
      <t>(Include in Architects work)</t>
    </r>
  </si>
  <si>
    <r>
      <rPr>
        <sz val="10"/>
        <color indexed="8"/>
        <rFont val="Arial"/>
      </rPr>
      <t xml:space="preserve">Water stop </t>
    </r>
    <r>
      <rPr>
        <sz val="10"/>
        <color indexed="18"/>
        <rFont val="Arial"/>
      </rPr>
      <t>RX101-3/4" x 1" or Equivalent</t>
    </r>
  </si>
  <si>
    <t>M</t>
  </si>
  <si>
    <t>Additional Items</t>
  </si>
  <si>
    <t>Protection For Waterproof membrane to external wall.</t>
  </si>
  <si>
    <t>STUB COLUMN &amp; TIE BEAM</t>
  </si>
  <si>
    <t>Reinforcement Concrete Beam</t>
  </si>
  <si>
    <t>Excavation.</t>
  </si>
  <si>
    <t>Compacted soil</t>
  </si>
  <si>
    <t>Compacted sand, 50mm thick</t>
  </si>
  <si>
    <t>Lean concrete, 50mm thick</t>
  </si>
  <si>
    <t>Sheet membrane waterproof</t>
  </si>
  <si>
    <r>
      <rPr>
        <sz val="10"/>
        <color indexed="8"/>
        <rFont val="Arial"/>
      </rPr>
      <t>Rebar SD50, 20mm dia.</t>
    </r>
    <r>
      <rPr>
        <sz val="10"/>
        <color indexed="18"/>
        <rFont val="Arial"/>
      </rPr>
      <t>(SD40)</t>
    </r>
  </si>
  <si>
    <r>
      <rPr>
        <sz val="10"/>
        <color indexed="8"/>
        <rFont val="Arial"/>
      </rPr>
      <t>Rebar SD50, 25mm dia.</t>
    </r>
    <r>
      <rPr>
        <sz val="10"/>
        <color indexed="18"/>
        <rFont val="Arial"/>
      </rPr>
      <t>(SD40)</t>
    </r>
  </si>
  <si>
    <r>
      <rPr>
        <sz val="10"/>
        <color indexed="8"/>
        <rFont val="Arial"/>
      </rPr>
      <t>Rebar SD50, 28mm dia.</t>
    </r>
    <r>
      <rPr>
        <sz val="10"/>
        <color indexed="18"/>
        <rFont val="Arial"/>
      </rPr>
      <t>(SD40)</t>
    </r>
  </si>
  <si>
    <t>LOWEST SLAB CONSTRUCTION</t>
  </si>
  <si>
    <r>
      <rPr>
        <sz val="10"/>
        <color indexed="8"/>
        <rFont val="Arial"/>
      </rPr>
      <t xml:space="preserve">Sheet membrane waterproof </t>
    </r>
    <r>
      <rPr>
        <sz val="10"/>
        <color indexed="18"/>
        <rFont val="Arial"/>
      </rPr>
      <t>(Bituthene 3000)</t>
    </r>
  </si>
  <si>
    <t>Water Stope 8"</t>
  </si>
  <si>
    <t>Concrete 320ksc. cylinder test  ผสมน้ำยากันซึม</t>
  </si>
  <si>
    <t>Waterproof (Internal)  (Include in Architects work)</t>
  </si>
  <si>
    <t>SUPERSTRUCTURE</t>
  </si>
  <si>
    <t>BEAM</t>
  </si>
  <si>
    <r>
      <rPr>
        <sz val="10"/>
        <color indexed="8"/>
        <rFont val="Arial"/>
      </rPr>
      <t>Sheet membrane waterproof</t>
    </r>
    <r>
      <rPr>
        <sz val="10"/>
        <color indexed="18"/>
        <rFont val="Arial"/>
      </rPr>
      <t>( PVC Sheet 0.15mm.)</t>
    </r>
  </si>
  <si>
    <t>Post Tension Beam [PBxx]</t>
  </si>
  <si>
    <t>SLAB</t>
  </si>
  <si>
    <t>Reinforcement Concrete Slab</t>
  </si>
  <si>
    <t>Compacted sand</t>
  </si>
  <si>
    <t>Lean concrete, 30mm thick</t>
  </si>
  <si>
    <r>
      <rPr>
        <sz val="10"/>
        <color indexed="8"/>
        <rFont val="Arial"/>
      </rPr>
      <t xml:space="preserve">Sheet membrane waterproof </t>
    </r>
    <r>
      <rPr>
        <sz val="10"/>
        <color indexed="18"/>
        <rFont val="Arial"/>
      </rPr>
      <t>( PVC Sheet 0.15mm.)</t>
    </r>
  </si>
  <si>
    <t>Concrete 320ksc. cylinder test, Waterproof Mix</t>
  </si>
  <si>
    <t>Post-Tension Slab</t>
  </si>
  <si>
    <t>Post-tension slab &amp; beam</t>
  </si>
  <si>
    <t>COLUMN, LOAD BEARING &amp; SHEAR WALL</t>
  </si>
  <si>
    <t>Reinforcement Concrete Column [Cxx]</t>
  </si>
  <si>
    <t>Concrete 500ksc. cylinder test</t>
  </si>
  <si>
    <t>Reinforcement Concrete Shear Wall [SWxx]</t>
  </si>
  <si>
    <t>WATER RETAINING &amp; NON LOAD BEARING WALL</t>
  </si>
  <si>
    <t>Reinforcement Concrete Retaining Wall (WWAx)</t>
  </si>
  <si>
    <t>Miscellaneous</t>
  </si>
  <si>
    <t>STAIRCASE</t>
  </si>
  <si>
    <t>Reinforcement Concrete Staircase [STxx]</t>
  </si>
  <si>
    <t>Stair_Rebar SR24, 6mm dia.</t>
  </si>
  <si>
    <t>Stair_Rebar SR24, 9mm dia.</t>
  </si>
  <si>
    <t>Stair_Rebar SD40, 10mm dia.</t>
  </si>
  <si>
    <t>Stair_Rebar SD40, 12mm dia.</t>
  </si>
  <si>
    <t>Stair_Rebar SD40, 16mm dia.</t>
  </si>
  <si>
    <r>
      <rPr>
        <sz val="10"/>
        <color indexed="8"/>
        <rFont val="Arial"/>
      </rPr>
      <t>Stair_Rebar SD50, 20mm dia.</t>
    </r>
    <r>
      <rPr>
        <sz val="10"/>
        <color indexed="18"/>
        <rFont val="Arial"/>
      </rPr>
      <t>(SD40)</t>
    </r>
  </si>
  <si>
    <r>
      <rPr>
        <sz val="10"/>
        <color indexed="8"/>
        <rFont val="Arial"/>
      </rPr>
      <t>Stair_Rebar SD50, 25mm dia.</t>
    </r>
    <r>
      <rPr>
        <sz val="10"/>
        <color indexed="18"/>
        <rFont val="Arial"/>
      </rPr>
      <t>(SD40)</t>
    </r>
  </si>
  <si>
    <r>
      <rPr>
        <sz val="10"/>
        <color indexed="8"/>
        <rFont val="Arial"/>
      </rPr>
      <t>Stair_Rebar SD50, 28mm dia.</t>
    </r>
    <r>
      <rPr>
        <sz val="10"/>
        <color indexed="18"/>
        <rFont val="Arial"/>
      </rPr>
      <t>(SD40)</t>
    </r>
  </si>
  <si>
    <t>Stair_Rebar SD50, 32mm dia.</t>
  </si>
  <si>
    <t>ROOF FRAME</t>
  </si>
  <si>
    <t>Allowance for Steel structure @ Canopy roof(Provisional)</t>
  </si>
  <si>
    <t>Steel Structure</t>
  </si>
  <si>
    <t>Canopy</t>
  </si>
  <si>
    <t>WF-500x200x10x16 mm. (89.6 kg/m)</t>
  </si>
  <si>
    <t>Kg</t>
  </si>
  <si>
    <t>WF-300x200x8x12 mm. (56.8 kg/m)</t>
  </si>
  <si>
    <t>WF-200x100x5.5x8 mm. (21.3 kg/m)</t>
  </si>
  <si>
    <t>WF-150x75x5x7 mm. (14 kg/m)</t>
  </si>
  <si>
    <t>PL-10 mm. (81 kg/m2)</t>
  </si>
  <si>
    <t>PL-15 mm. (122 kg/m2)</t>
  </si>
  <si>
    <t>Dowel DB16 (L=1.80m)</t>
  </si>
  <si>
    <t>Ea</t>
  </si>
  <si>
    <t>Dowel DB12 (L=1.13m)</t>
  </si>
  <si>
    <t>Antirust Paint</t>
  </si>
  <si>
    <t>m2</t>
  </si>
  <si>
    <t>Enamel Paint</t>
  </si>
  <si>
    <t>Fireproof</t>
  </si>
  <si>
    <t>Wire Brush</t>
  </si>
  <si>
    <t xml:space="preserve">Dia.60mm Stainless Coupler </t>
  </si>
  <si>
    <t>ea</t>
  </si>
  <si>
    <t>Dia.30mm Stainless Steel rod</t>
  </si>
  <si>
    <t>m</t>
  </si>
  <si>
    <t>20mm.thk GMS Plate with Hole</t>
  </si>
  <si>
    <t>Pin Dia.30mm</t>
  </si>
  <si>
    <t>10mm.thk Stainless Plate</t>
  </si>
  <si>
    <t>Façade Support)</t>
  </si>
  <si>
    <t>WF-300x150x5.5x8 mm. (32 kg/m)</t>
  </si>
  <si>
    <t>PL-12 mm. (97 kg/m2)</t>
  </si>
  <si>
    <t>Dowel DB16 (L=1.90m)</t>
  </si>
  <si>
    <t>Roof Stack</t>
  </si>
  <si>
    <t>H-150x150x7x10 mm. (31.5 kg/m)</t>
  </si>
  <si>
    <t>PL-25 mm. (203 kg/m2)</t>
  </si>
  <si>
    <t>M16 J-Bolt</t>
  </si>
  <si>
    <t>Non Shrink Grout (3cm)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</si>
</sst>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"/>
  </numFmts>
  <fonts count="10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sz val="9"/>
      <color indexed="8"/>
      <name val="Arial"/>
    </font>
    <font>
      <b val="1"/>
      <sz val="10"/>
      <color indexed="14"/>
      <name val="Arial"/>
    </font>
    <font>
      <b val="1"/>
      <sz val="10"/>
      <color indexed="8"/>
      <name val="Arial"/>
    </font>
    <font>
      <b val="1"/>
      <u val="single"/>
      <sz val="10"/>
      <color indexed="8"/>
      <name val="Arial"/>
    </font>
    <font>
      <strike val="1"/>
      <sz val="10"/>
      <color indexed="8"/>
      <name val="Arial"/>
    </font>
    <font>
      <sz val="10"/>
      <color indexed="18"/>
      <name val="Arial"/>
    </font>
    <font>
      <b val="1"/>
      <u val="single"/>
      <sz val="10"/>
      <color indexed="1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18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horizontal="center"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bottom"/>
    </xf>
    <xf numFmtId="49" fontId="0" fillId="3" borderId="5" applyNumberFormat="1" applyFont="1" applyFill="1" applyBorder="1" applyAlignment="1" applyProtection="0">
      <alignment horizontal="center" vertical="bottom"/>
    </xf>
    <xf numFmtId="49" fontId="0" fillId="3" borderId="6" applyNumberFormat="1" applyFont="1" applyFill="1" applyBorder="1" applyAlignment="1" applyProtection="0">
      <alignment horizontal="center" vertical="bottom"/>
    </xf>
    <xf numFmtId="49" fontId="0" fillId="3" borderId="7" applyNumberFormat="1" applyFont="1" applyFill="1" applyBorder="1" applyAlignment="1" applyProtection="0">
      <alignment vertical="bottom"/>
    </xf>
    <xf numFmtId="59" fontId="0" fillId="4" borderId="7" applyNumberFormat="1" applyFont="1" applyFill="1" applyBorder="1" applyAlignment="1" applyProtection="0">
      <alignment vertical="bottom"/>
    </xf>
    <xf numFmtId="59" fontId="0" fillId="5" borderId="7" applyNumberFormat="1" applyFont="1" applyFill="1" applyBorder="1" applyAlignment="1" applyProtection="0">
      <alignment vertical="bottom"/>
    </xf>
    <xf numFmtId="59" fontId="0" fillId="5" borderId="6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4" fillId="6" borderId="9" applyNumberFormat="1" applyFont="1" applyFill="1" applyBorder="1" applyAlignment="1" applyProtection="0">
      <alignment vertical="bottom"/>
    </xf>
    <xf numFmtId="49" fontId="4" fillId="6" borderId="10" applyNumberFormat="1" applyFont="1" applyFill="1" applyBorder="1" applyAlignment="1" applyProtection="0">
      <alignment vertical="bottom"/>
    </xf>
    <xf numFmtId="49" fontId="5" fillId="7" borderId="10" applyNumberFormat="1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49" fontId="0" fillId="8" borderId="11" applyNumberFormat="1" applyFont="1" applyFill="1" applyBorder="1" applyAlignment="1" applyProtection="0">
      <alignment horizontal="left" vertical="bottom"/>
    </xf>
    <xf numFmtId="49" fontId="0" fillId="8" borderId="12" applyNumberFormat="1" applyFont="1" applyFill="1" applyBorder="1" applyAlignment="1" applyProtection="0">
      <alignment vertical="bottom"/>
    </xf>
    <xf numFmtId="2" fontId="0" fillId="8" borderId="13" applyNumberFormat="1" applyFont="1" applyFill="1" applyBorder="1" applyAlignment="1" applyProtection="0">
      <alignment horizontal="right" vertical="bottom"/>
    </xf>
    <xf numFmtId="2" fontId="0" fillId="8" borderId="14" applyNumberFormat="1" applyFont="1" applyFill="1" applyBorder="1" applyAlignment="1" applyProtection="0">
      <alignment horizontal="right" vertical="bottom"/>
    </xf>
    <xf numFmtId="2" fontId="0" fillId="8" borderId="11" applyNumberFormat="1" applyFont="1" applyFill="1" applyBorder="1" applyAlignment="1" applyProtection="0">
      <alignment horizontal="right" vertical="bottom"/>
    </xf>
    <xf numFmtId="2" fontId="0" fillId="8" borderId="12" applyNumberFormat="1" applyFont="1" applyFill="1" applyBorder="1" applyAlignment="1" applyProtection="0">
      <alignment horizontal="right" vertical="bottom"/>
    </xf>
    <xf numFmtId="2" fontId="0" fillId="8" borderId="13" applyNumberFormat="1" applyFont="1" applyFill="1" applyBorder="1" applyAlignment="1" applyProtection="0">
      <alignment vertical="bottom"/>
    </xf>
    <xf numFmtId="2" fontId="0" fillId="8" borderId="14" applyNumberFormat="1" applyFont="1" applyFill="1" applyBorder="1" applyAlignment="1" applyProtection="0">
      <alignment vertical="bottom"/>
    </xf>
    <xf numFmtId="2" fontId="0" fillId="8" borderId="11" applyNumberFormat="1" applyFont="1" applyFill="1" applyBorder="1" applyAlignment="1" applyProtection="0">
      <alignment vertical="bottom"/>
    </xf>
    <xf numFmtId="2" fontId="0" fillId="8" borderId="12" applyNumberFormat="1" applyFont="1" applyFill="1" applyBorder="1" applyAlignment="1" applyProtection="0">
      <alignment vertical="bottom"/>
    </xf>
    <xf numFmtId="49" fontId="4" fillId="6" borderId="14" applyNumberFormat="1" applyFont="1" applyFill="1" applyBorder="1" applyAlignment="1" applyProtection="0">
      <alignment vertical="bottom"/>
    </xf>
    <xf numFmtId="49" fontId="5" fillId="7" borderId="14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vertical="bottom"/>
    </xf>
    <xf numFmtId="2" fontId="8" fillId="8" borderId="13" applyNumberFormat="1" applyFont="1" applyFill="1" applyBorder="1" applyAlignment="1" applyProtection="0">
      <alignment horizontal="right" vertical="bottom"/>
    </xf>
    <xf numFmtId="2" fontId="0" fillId="9" borderId="13" applyNumberFormat="1" applyFont="1" applyFill="1" applyBorder="1" applyAlignment="1" applyProtection="0">
      <alignment vertical="bottom"/>
    </xf>
    <xf numFmtId="2" fontId="0" fillId="9" borderId="14" applyNumberFormat="1" applyFont="1" applyFill="1" applyBorder="1" applyAlignment="1" applyProtection="0">
      <alignment vertical="bottom"/>
    </xf>
    <xf numFmtId="49" fontId="0" fillId="8" borderId="12" applyNumberFormat="1" applyFont="1" applyFill="1" applyBorder="1" applyAlignment="1" applyProtection="0">
      <alignment horizontal="center" vertical="bottom"/>
    </xf>
    <xf numFmtId="49" fontId="0" fillId="8" borderId="11" applyNumberFormat="1" applyFont="1" applyFill="1" applyBorder="1" applyAlignment="1" applyProtection="0">
      <alignment horizontal="left" vertical="center"/>
    </xf>
    <xf numFmtId="49" fontId="9" fillId="2" borderId="14" applyNumberFormat="1" applyFont="1" applyFill="1" applyBorder="1" applyAlignment="1" applyProtection="0">
      <alignment vertical="bottom"/>
    </xf>
    <xf numFmtId="49" fontId="8" fillId="8" borderId="11" applyNumberFormat="1" applyFont="1" applyFill="1" applyBorder="1" applyAlignment="1" applyProtection="0">
      <alignment horizontal="left" vertical="center"/>
    </xf>
    <xf numFmtId="2" fontId="0" fillId="10" borderId="14" applyNumberFormat="1" applyFont="1" applyFill="1" applyBorder="1" applyAlignment="1" applyProtection="0">
      <alignment horizontal="right" vertical="bottom"/>
    </xf>
    <xf numFmtId="2" fontId="0" fillId="10" borderId="11" applyNumberFormat="1" applyFont="1" applyFill="1" applyBorder="1" applyAlignment="1" applyProtection="0">
      <alignment horizontal="right" vertical="bottom"/>
    </xf>
    <xf numFmtId="49" fontId="8" fillId="8" borderId="11" applyNumberFormat="1" applyFont="1" applyFill="1" applyBorder="1" applyAlignment="1" applyProtection="0">
      <alignment horizontal="left" vertical="bottom"/>
    </xf>
    <xf numFmtId="49" fontId="8" fillId="8" borderId="12" applyNumberFormat="1" applyFont="1" applyFill="1" applyBorder="1" applyAlignment="1" applyProtection="0">
      <alignment horizontal="center" vertical="bottom"/>
    </xf>
    <xf numFmtId="49" fontId="8" fillId="8" borderId="11" applyNumberFormat="1" applyFont="1" applyFill="1" applyBorder="1" applyAlignment="1" applyProtection="0">
      <alignment vertical="center"/>
    </xf>
    <xf numFmtId="49" fontId="6" fillId="2" borderId="14" applyNumberFormat="1" applyFont="1" applyFill="1" applyBorder="1" applyAlignment="1" applyProtection="0">
      <alignment horizontal="left" vertical="bottom"/>
    </xf>
    <xf numFmtId="2" fontId="5" fillId="8" borderId="13" applyNumberFormat="1" applyFont="1" applyFill="1" applyBorder="1" applyAlignment="1" applyProtection="0">
      <alignment horizontal="right" vertical="bottom"/>
    </xf>
    <xf numFmtId="2" fontId="5" fillId="8" borderId="14" applyNumberFormat="1" applyFont="1" applyFill="1" applyBorder="1" applyAlignment="1" applyProtection="0">
      <alignment horizontal="right" vertical="bottom"/>
    </xf>
    <xf numFmtId="2" fontId="5" fillId="8" borderId="13" applyNumberFormat="1" applyFont="1" applyFill="1" applyBorder="1" applyAlignment="1" applyProtection="0">
      <alignment horizontal="center" vertical="bottom"/>
    </xf>
    <xf numFmtId="2" fontId="5" fillId="8" borderId="14" applyNumberFormat="1" applyFont="1" applyFill="1" applyBorder="1" applyAlignment="1" applyProtection="0">
      <alignment horizontal="center" vertical="bottom"/>
    </xf>
    <xf numFmtId="2" fontId="8" fillId="8" borderId="13" applyNumberFormat="1" applyFont="1" applyFill="1" applyBorder="1" applyAlignment="1" applyProtection="0">
      <alignment horizontal="center" vertical="bottom"/>
    </xf>
    <xf numFmtId="2" fontId="8" fillId="8" borderId="14" applyNumberFormat="1" applyFont="1" applyFill="1" applyBorder="1" applyAlignment="1" applyProtection="0">
      <alignment horizontal="center" vertical="bottom"/>
    </xf>
    <xf numFmtId="2" fontId="8" fillId="8" borderId="11" applyNumberFormat="1" applyFont="1" applyFill="1" applyBorder="1" applyAlignment="1" applyProtection="0">
      <alignment horizontal="center" vertical="bottom"/>
    </xf>
    <xf numFmtId="2" fontId="8" fillId="8" borderId="12" applyNumberFormat="1" applyFont="1" applyFill="1" applyBorder="1" applyAlignment="1" applyProtection="0">
      <alignment horizontal="right" vertical="bottom"/>
    </xf>
    <xf numFmtId="49" fontId="0" fillId="8" borderId="11" applyNumberFormat="1" applyFont="1" applyFill="1" applyBorder="1" applyAlignment="1" applyProtection="0">
      <alignment vertical="bottom"/>
    </xf>
    <xf numFmtId="2" fontId="8" fillId="8" borderId="15" applyNumberFormat="1" applyFont="1" applyFill="1" applyBorder="1" applyAlignment="1" applyProtection="0">
      <alignment horizontal="right" vertical="bottom"/>
    </xf>
    <xf numFmtId="2" fontId="0" fillId="11" borderId="16" applyNumberFormat="1" applyFont="1" applyFill="1" applyBorder="1" applyAlignment="1" applyProtection="0">
      <alignment vertical="bottom"/>
    </xf>
    <xf numFmtId="49" fontId="5" fillId="7" borderId="14" applyNumberFormat="1" applyFont="1" applyFill="1" applyBorder="1" applyAlignment="1" applyProtection="0">
      <alignment vertical="center"/>
    </xf>
    <xf numFmtId="49" fontId="0" fillId="8" borderId="14" applyNumberFormat="1" applyFont="1" applyFill="1" applyBorder="1" applyAlignment="1" applyProtection="0">
      <alignment vertical="center"/>
    </xf>
    <xf numFmtId="49" fontId="0" fillId="8" borderId="11" applyNumberFormat="1" applyFont="1" applyFill="1" applyBorder="1" applyAlignment="1" applyProtection="0">
      <alignment horizontal="center" vertical="center"/>
    </xf>
    <xf numFmtId="2" fontId="0" fillId="8" borderId="11" applyNumberFormat="1" applyFont="1" applyFill="1" applyBorder="1" applyAlignment="1" applyProtection="0">
      <alignment horizontal="right" vertical="center"/>
    </xf>
    <xf numFmtId="49" fontId="0" fillId="8" borderId="14" applyNumberFormat="1" applyFont="1" applyFill="1" applyBorder="1" applyAlignment="1" applyProtection="0">
      <alignment horizontal="left" vertical="center"/>
    </xf>
    <xf numFmtId="49" fontId="5" fillId="8" borderId="14" applyNumberFormat="1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aaaaa"/>
      <rgbColor rgb="ffbdc0bf"/>
      <rgbColor rgb="ff75d5ff"/>
      <rgbColor rgb="ffffd478"/>
      <rgbColor rgb="ff0000cc"/>
      <rgbColor rgb="ffffff00"/>
      <rgbColor rgb="ffffffcc"/>
      <rgbColor rgb="ffffffff"/>
      <rgbColor rgb="ffff0000"/>
      <rgbColor rgb="fff6d9fb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X237"/>
  <sheetViews>
    <sheetView workbookViewId="0" showGridLines="0" defaultGridColor="1">
      <pane topLeftCell="F2" xSplit="5" ySplit="1" activePane="bottomRight" state="frozen"/>
    </sheetView>
  </sheetViews>
  <sheetFormatPr defaultColWidth="9.16667" defaultRowHeight="12.75" customHeight="1" outlineLevelRow="0" outlineLevelCol="0"/>
  <cols>
    <col min="1" max="1" width="1.85156" style="1" customWidth="1"/>
    <col min="2" max="2" width="14.1719" style="1" customWidth="1"/>
    <col min="3" max="3" width="15.1719" style="1" customWidth="1"/>
    <col min="4" max="4" width="13" style="1" customWidth="1"/>
    <col min="5" max="5" width="24" style="1" customWidth="1"/>
    <col min="6" max="6" width="18.0156" style="1" customWidth="1"/>
    <col min="7" max="7" width="10.5" style="1" customWidth="1"/>
    <col min="8" max="20" width="9.17188" style="1" customWidth="1"/>
    <col min="21" max="21" width="6.67188" style="1" customWidth="1"/>
    <col min="22" max="22" width="8.35156" style="1" customWidth="1"/>
    <col min="23" max="23" width="5.17188" style="1" customWidth="1"/>
    <col min="24" max="24" width="8.35156" style="1" customWidth="1"/>
    <col min="25" max="25" width="10.8516" style="1" customWidth="1"/>
    <col min="26" max="26" width="8.67188" style="1" customWidth="1"/>
    <col min="27" max="35" width="6.17188" style="1" customWidth="1"/>
    <col min="36" max="36" width="6.67188" style="1" customWidth="1"/>
    <col min="37" max="50" width="6.5" style="1" customWidth="1"/>
    <col min="51" max="16384" width="9.17188" style="1" customWidth="1"/>
  </cols>
  <sheetData>
    <row r="1" ht="39.75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t="s" s="5">
        <v>4</v>
      </c>
      <c r="G1" t="s" s="6">
        <v>5</v>
      </c>
      <c r="H1" t="s" s="7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9">
        <v>11</v>
      </c>
      <c r="N1" t="s" s="9">
        <v>12</v>
      </c>
      <c r="O1" t="s" s="9">
        <v>13</v>
      </c>
      <c r="P1" t="s" s="9">
        <v>14</v>
      </c>
      <c r="Q1" t="s" s="9">
        <v>15</v>
      </c>
      <c r="R1" t="s" s="9">
        <v>16</v>
      </c>
      <c r="S1" t="s" s="8">
        <v>17</v>
      </c>
      <c r="T1" t="s" s="8">
        <v>18</v>
      </c>
      <c r="U1" t="s" s="10">
        <v>19</v>
      </c>
      <c r="V1" t="s" s="11">
        <v>20</v>
      </c>
      <c r="W1" t="s" s="5">
        <v>21</v>
      </c>
      <c r="X1" t="s" s="10">
        <v>22</v>
      </c>
      <c r="Y1" t="s" s="12">
        <v>23</v>
      </c>
      <c r="Z1" t="s" s="12">
        <v>24</v>
      </c>
      <c r="AA1" s="13">
        <v>44592</v>
      </c>
      <c r="AB1" s="13">
        <v>44620</v>
      </c>
      <c r="AC1" s="13">
        <v>44651</v>
      </c>
      <c r="AD1" s="13">
        <v>44681</v>
      </c>
      <c r="AE1" s="13">
        <v>44712</v>
      </c>
      <c r="AF1" s="13">
        <v>44742</v>
      </c>
      <c r="AG1" s="13">
        <v>44773</v>
      </c>
      <c r="AH1" s="13">
        <v>44804</v>
      </c>
      <c r="AI1" s="13">
        <v>44834</v>
      </c>
      <c r="AJ1" s="13">
        <v>44865</v>
      </c>
      <c r="AK1" s="13">
        <v>44895</v>
      </c>
      <c r="AL1" s="13">
        <v>44926</v>
      </c>
      <c r="AM1" s="14">
        <v>44592</v>
      </c>
      <c r="AN1" s="14">
        <v>44620</v>
      </c>
      <c r="AO1" s="14">
        <v>44651</v>
      </c>
      <c r="AP1" s="14">
        <v>44681</v>
      </c>
      <c r="AQ1" s="14">
        <v>44712</v>
      </c>
      <c r="AR1" s="14">
        <v>44742</v>
      </c>
      <c r="AS1" s="14">
        <v>44773</v>
      </c>
      <c r="AT1" s="14">
        <v>44804</v>
      </c>
      <c r="AU1" s="14">
        <v>44834</v>
      </c>
      <c r="AV1" s="14">
        <v>44865</v>
      </c>
      <c r="AW1" s="14">
        <v>44895</v>
      </c>
      <c r="AX1" s="15">
        <v>44926</v>
      </c>
    </row>
    <row r="2" ht="25.5" customHeight="1">
      <c r="A2" s="16"/>
      <c r="B2" t="s" s="17">
        <v>25</v>
      </c>
      <c r="C2" t="s" s="18">
        <v>26</v>
      </c>
      <c r="D2" t="s" s="19">
        <v>27</v>
      </c>
      <c r="E2" t="s" s="20">
        <v>28</v>
      </c>
      <c r="F2" t="s" s="21">
        <v>29</v>
      </c>
      <c r="G2" t="s" s="22">
        <v>30</v>
      </c>
      <c r="H2" s="23">
        <v>106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  <c r="U2" s="26">
        <f>SUM(H2:T2)</f>
        <v>106</v>
      </c>
      <c r="V2" s="27">
        <v>335</v>
      </c>
      <c r="W2" s="28">
        <v>1730</v>
      </c>
      <c r="X2" s="29">
        <f>SUM(V2,W2)</f>
        <v>2065</v>
      </c>
      <c r="Y2" s="30">
        <f>X2*U2</f>
        <v>218890</v>
      </c>
      <c r="Z2" s="30">
        <f>Y2*100/Y237</f>
        <v>0.149156482748128</v>
      </c>
      <c r="AA2" s="30">
        <v>50</v>
      </c>
      <c r="AB2" s="30">
        <v>50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>
        <v>60</v>
      </c>
      <c r="AN2" s="30">
        <v>40</v>
      </c>
      <c r="AO2" s="30"/>
      <c r="AP2" s="30"/>
      <c r="AQ2" s="30"/>
      <c r="AR2" s="30"/>
      <c r="AS2" s="30"/>
      <c r="AT2" s="30"/>
      <c r="AU2" s="30"/>
      <c r="AV2" s="30"/>
      <c r="AW2" s="30"/>
      <c r="AX2" s="30"/>
    </row>
    <row r="3" ht="25.5" customHeight="1">
      <c r="A3" s="16"/>
      <c r="B3" t="s" s="17">
        <v>25</v>
      </c>
      <c r="C3" t="s" s="31">
        <v>26</v>
      </c>
      <c r="D3" t="s" s="32">
        <v>27</v>
      </c>
      <c r="E3" t="s" s="33">
        <v>28</v>
      </c>
      <c r="F3" t="s" s="21">
        <v>31</v>
      </c>
      <c r="G3" t="s" s="22">
        <v>30</v>
      </c>
      <c r="H3" s="23">
        <v>70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5"/>
      <c r="U3" s="26">
        <f>SUM(H3:T3)</f>
        <v>70</v>
      </c>
      <c r="V3" s="27">
        <v>335</v>
      </c>
      <c r="W3" s="28">
        <v>2120</v>
      </c>
      <c r="X3" s="29">
        <f>SUM(V3,W3)</f>
        <v>2455</v>
      </c>
      <c r="Y3" s="30">
        <f>X3*U3</f>
        <v>171850</v>
      </c>
      <c r="Z3" s="30">
        <f>Y3*100/$Y$237</f>
        <v>0.117102387319046</v>
      </c>
      <c r="AA3" s="30">
        <v>50</v>
      </c>
      <c r="AB3" s="30">
        <v>50</v>
      </c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>
        <v>60</v>
      </c>
      <c r="AN3" s="30">
        <v>40</v>
      </c>
      <c r="AO3" s="30"/>
      <c r="AP3" s="30"/>
      <c r="AQ3" s="30"/>
      <c r="AR3" s="30"/>
      <c r="AS3" s="30"/>
      <c r="AT3" s="30"/>
      <c r="AU3" s="30"/>
      <c r="AV3" s="30"/>
      <c r="AW3" s="30"/>
      <c r="AX3" s="30"/>
    </row>
    <row r="4" ht="25.5" customHeight="1">
      <c r="A4" s="16"/>
      <c r="B4" t="s" s="17">
        <v>25</v>
      </c>
      <c r="C4" t="s" s="31">
        <v>26</v>
      </c>
      <c r="D4" t="s" s="32">
        <v>27</v>
      </c>
      <c r="E4" t="s" s="33">
        <v>28</v>
      </c>
      <c r="F4" t="s" s="21">
        <v>32</v>
      </c>
      <c r="G4" t="s" s="22">
        <v>30</v>
      </c>
      <c r="H4" s="23">
        <v>2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>
        <f>SUM(H4:T4)</f>
        <v>2</v>
      </c>
      <c r="V4" s="27">
        <v>450</v>
      </c>
      <c r="W4" s="28">
        <v>3460</v>
      </c>
      <c r="X4" s="29">
        <f>SUM(V4,W4)</f>
        <v>3910</v>
      </c>
      <c r="Y4" s="27">
        <f>X4*U4</f>
        <v>7820</v>
      </c>
      <c r="Z4" s="29">
        <f>Y4*100/$Y$237</f>
        <v>0.00532872079624635</v>
      </c>
      <c r="AA4" s="30">
        <v>100</v>
      </c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>
        <v>100</v>
      </c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</row>
    <row r="5" ht="25.5" customHeight="1">
      <c r="A5" s="16"/>
      <c r="B5" t="s" s="17">
        <v>25</v>
      </c>
      <c r="C5" t="s" s="31">
        <v>26</v>
      </c>
      <c r="D5" t="s" s="32">
        <v>27</v>
      </c>
      <c r="E5" t="s" s="33">
        <v>28</v>
      </c>
      <c r="F5" t="s" s="21">
        <v>33</v>
      </c>
      <c r="G5" t="s" s="22">
        <v>30</v>
      </c>
      <c r="H5" s="23">
        <v>178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6">
        <f>SUM(H5:T5)</f>
        <v>178</v>
      </c>
      <c r="V5" s="27">
        <v>0</v>
      </c>
      <c r="W5" s="28">
        <v>1325</v>
      </c>
      <c r="X5" s="29">
        <f>SUM(V5,W5)</f>
        <v>1325</v>
      </c>
      <c r="Y5" s="27">
        <f>X5*U5</f>
        <v>235850</v>
      </c>
      <c r="Z5" s="29">
        <f>Y5*100/$Y$237</f>
        <v>0.160713401508274</v>
      </c>
      <c r="AA5" s="30"/>
      <c r="AB5" s="30">
        <v>50</v>
      </c>
      <c r="AC5" s="30">
        <v>50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>
        <v>60</v>
      </c>
      <c r="AO5" s="30">
        <v>40</v>
      </c>
      <c r="AP5" s="30"/>
      <c r="AQ5" s="30"/>
      <c r="AR5" s="30"/>
      <c r="AS5" s="30"/>
      <c r="AT5" s="30"/>
      <c r="AU5" s="30"/>
      <c r="AV5" s="30"/>
      <c r="AW5" s="30"/>
      <c r="AX5" s="30"/>
    </row>
    <row r="6" ht="25.5" customHeight="1">
      <c r="A6" s="16"/>
      <c r="B6" t="s" s="17">
        <v>25</v>
      </c>
      <c r="C6" t="s" s="31">
        <v>26</v>
      </c>
      <c r="D6" t="s" s="32">
        <v>27</v>
      </c>
      <c r="E6" t="s" s="33">
        <v>34</v>
      </c>
      <c r="F6" t="s" s="21">
        <v>35</v>
      </c>
      <c r="G6" t="s" s="22">
        <v>36</v>
      </c>
      <c r="H6" s="23">
        <v>15008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5"/>
      <c r="U6" s="26">
        <f>SUM(H6:T6)</f>
        <v>15008</v>
      </c>
      <c r="V6" s="27">
        <v>0</v>
      </c>
      <c r="W6" s="28">
        <v>110</v>
      </c>
      <c r="X6" s="29">
        <f>SUM(V6,W6)</f>
        <v>110</v>
      </c>
      <c r="Y6" s="27">
        <f>X6*U6</f>
        <v>1650880</v>
      </c>
      <c r="Z6" s="29">
        <f>Y6*100/$Y$237</f>
        <v>1.12494611101115</v>
      </c>
      <c r="AA6" s="30"/>
      <c r="AB6" s="30"/>
      <c r="AC6" s="30"/>
      <c r="AD6" s="30">
        <v>40</v>
      </c>
      <c r="AE6" s="30">
        <v>60</v>
      </c>
      <c r="AF6" s="30"/>
      <c r="AG6" s="30"/>
      <c r="AH6" s="30"/>
      <c r="AI6" s="30"/>
      <c r="AJ6" s="30"/>
      <c r="AK6" s="30"/>
      <c r="AL6" s="30"/>
      <c r="AM6" s="30"/>
      <c r="AN6" s="30">
        <v>30</v>
      </c>
      <c r="AO6" s="30">
        <v>30</v>
      </c>
      <c r="AP6" s="30">
        <v>40</v>
      </c>
      <c r="AQ6" s="30"/>
      <c r="AR6" s="30"/>
      <c r="AS6" s="30"/>
      <c r="AT6" s="30"/>
      <c r="AU6" s="30"/>
      <c r="AV6" s="30"/>
      <c r="AW6" s="30"/>
      <c r="AX6" s="30"/>
    </row>
    <row r="7" ht="25.5" customHeight="1">
      <c r="A7" s="16"/>
      <c r="B7" t="s" s="17">
        <v>25</v>
      </c>
      <c r="C7" t="s" s="31">
        <v>26</v>
      </c>
      <c r="D7" t="s" s="32">
        <v>27</v>
      </c>
      <c r="E7" t="s" s="33">
        <v>34</v>
      </c>
      <c r="F7" t="s" s="21">
        <v>37</v>
      </c>
      <c r="G7" t="s" s="22">
        <v>36</v>
      </c>
      <c r="H7" s="23">
        <v>6837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6">
        <f>SUM(H7:T7)</f>
        <v>6837</v>
      </c>
      <c r="V7" s="27">
        <v>0</v>
      </c>
      <c r="W7" s="28">
        <v>70</v>
      </c>
      <c r="X7" s="29">
        <f>SUM(V7,W7)</f>
        <v>70</v>
      </c>
      <c r="Y7" s="27">
        <f>X7*U7</f>
        <v>478590</v>
      </c>
      <c r="Z7" s="29">
        <f>Y7*100/$Y$237</f>
        <v>0.326121801262857</v>
      </c>
      <c r="AA7" s="30"/>
      <c r="AB7" s="30"/>
      <c r="AC7" s="30"/>
      <c r="AD7" s="30">
        <v>40</v>
      </c>
      <c r="AE7" s="30">
        <v>60</v>
      </c>
      <c r="AF7" s="30"/>
      <c r="AG7" s="30"/>
      <c r="AH7" s="30"/>
      <c r="AI7" s="30"/>
      <c r="AJ7" s="30"/>
      <c r="AK7" s="30"/>
      <c r="AL7" s="30"/>
      <c r="AM7" s="30"/>
      <c r="AN7" s="30">
        <v>30</v>
      </c>
      <c r="AO7" s="30">
        <v>30</v>
      </c>
      <c r="AP7" s="30">
        <v>40</v>
      </c>
      <c r="AQ7" s="30"/>
      <c r="AR7" s="30"/>
      <c r="AS7" s="30"/>
      <c r="AT7" s="30"/>
      <c r="AU7" s="30"/>
      <c r="AV7" s="30"/>
      <c r="AW7" s="30"/>
      <c r="AX7" s="30"/>
    </row>
    <row r="8" ht="25.5" customHeight="1">
      <c r="A8" s="16"/>
      <c r="B8" t="s" s="17">
        <v>25</v>
      </c>
      <c r="C8" t="s" s="31">
        <v>26</v>
      </c>
      <c r="D8" t="s" s="32">
        <v>27</v>
      </c>
      <c r="E8" t="s" s="33">
        <v>34</v>
      </c>
      <c r="F8" t="s" s="21">
        <v>38</v>
      </c>
      <c r="G8" t="s" s="22">
        <v>36</v>
      </c>
      <c r="H8" s="23">
        <v>8165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26">
        <f>SUM(H8:T8)</f>
        <v>8165</v>
      </c>
      <c r="V8" s="27">
        <v>0</v>
      </c>
      <c r="W8" s="28">
        <v>110</v>
      </c>
      <c r="X8" s="29">
        <f>SUM(V8,W8)</f>
        <v>110</v>
      </c>
      <c r="Y8" s="27">
        <f>X8*U8</f>
        <v>898150</v>
      </c>
      <c r="Z8" s="29">
        <f>Y8*100/$Y$237</f>
        <v>0.6120192561571181</v>
      </c>
      <c r="AA8" s="30"/>
      <c r="AB8" s="30"/>
      <c r="AC8" s="30"/>
      <c r="AD8" s="30"/>
      <c r="AE8" s="30">
        <v>60</v>
      </c>
      <c r="AF8" s="30">
        <v>40</v>
      </c>
      <c r="AG8" s="30"/>
      <c r="AH8" s="30"/>
      <c r="AI8" s="30"/>
      <c r="AJ8" s="30"/>
      <c r="AK8" s="30"/>
      <c r="AL8" s="30"/>
      <c r="AM8" s="30"/>
      <c r="AN8" s="30">
        <v>30</v>
      </c>
      <c r="AO8" s="30">
        <v>30</v>
      </c>
      <c r="AP8" s="30">
        <v>40</v>
      </c>
      <c r="AQ8" s="30"/>
      <c r="AR8" s="30"/>
      <c r="AS8" s="30"/>
      <c r="AT8" s="30"/>
      <c r="AU8" s="30"/>
      <c r="AV8" s="30"/>
      <c r="AW8" s="30"/>
      <c r="AX8" s="30"/>
    </row>
    <row r="9" ht="25.5" customHeight="1">
      <c r="A9" s="16"/>
      <c r="B9" t="s" s="17">
        <v>25</v>
      </c>
      <c r="C9" t="s" s="31">
        <v>26</v>
      </c>
      <c r="D9" t="s" s="32">
        <v>27</v>
      </c>
      <c r="E9" t="s" s="33">
        <v>34</v>
      </c>
      <c r="F9" t="s" s="21">
        <v>39</v>
      </c>
      <c r="G9" t="s" s="22">
        <v>40</v>
      </c>
      <c r="H9" s="23">
        <v>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26">
        <f>SUM(H9:T9)</f>
        <v>0</v>
      </c>
      <c r="V9" s="27">
        <v>0</v>
      </c>
      <c r="W9" s="28">
        <v>35</v>
      </c>
      <c r="X9" s="29">
        <f>SUM(V9,W9)</f>
        <v>35</v>
      </c>
      <c r="Y9" s="27">
        <f>X9*U9</f>
        <v>0</v>
      </c>
      <c r="Z9" s="29">
        <f>Y9*100/$Y$237</f>
        <v>0</v>
      </c>
      <c r="AA9" s="30"/>
      <c r="AB9" s="30"/>
      <c r="AC9" s="30"/>
      <c r="AD9" s="30"/>
      <c r="AE9" s="30">
        <v>60</v>
      </c>
      <c r="AF9" s="30">
        <v>40</v>
      </c>
      <c r="AG9" s="30"/>
      <c r="AH9" s="30"/>
      <c r="AI9" s="30"/>
      <c r="AJ9" s="30"/>
      <c r="AK9" s="30"/>
      <c r="AL9" s="30"/>
      <c r="AM9" s="30"/>
      <c r="AN9" s="30">
        <v>30</v>
      </c>
      <c r="AO9" s="30">
        <v>30</v>
      </c>
      <c r="AP9" s="30">
        <v>40</v>
      </c>
      <c r="AQ9" s="30"/>
      <c r="AR9" s="30"/>
      <c r="AS9" s="30"/>
      <c r="AT9" s="30"/>
      <c r="AU9" s="30"/>
      <c r="AV9" s="30"/>
      <c r="AW9" s="30"/>
      <c r="AX9" s="30"/>
    </row>
    <row r="10" ht="25.5" customHeight="1">
      <c r="A10" s="16"/>
      <c r="B10" t="s" s="17">
        <v>25</v>
      </c>
      <c r="C10" t="s" s="31">
        <v>26</v>
      </c>
      <c r="D10" t="s" s="32">
        <v>27</v>
      </c>
      <c r="E10" t="s" s="33">
        <v>34</v>
      </c>
      <c r="F10" t="s" s="21">
        <v>41</v>
      </c>
      <c r="G10" t="s" s="22">
        <v>40</v>
      </c>
      <c r="H10" s="23">
        <v>82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26">
        <v>820</v>
      </c>
      <c r="V10" s="27">
        <v>95</v>
      </c>
      <c r="W10" s="28">
        <v>15</v>
      </c>
      <c r="X10" s="29">
        <f>SUM(V10,W10)</f>
        <v>110</v>
      </c>
      <c r="Y10" s="27">
        <f>X10*U10</f>
        <v>90200</v>
      </c>
      <c r="Z10" s="29">
        <f>Y10*100/$Y$237</f>
        <v>0.0614642731229439</v>
      </c>
      <c r="AA10" s="30"/>
      <c r="AB10" s="30"/>
      <c r="AC10" s="30"/>
      <c r="AD10" s="30"/>
      <c r="AE10" s="30">
        <v>60</v>
      </c>
      <c r="AF10" s="30">
        <v>40</v>
      </c>
      <c r="AG10" s="30"/>
      <c r="AH10" s="30"/>
      <c r="AI10" s="30"/>
      <c r="AJ10" s="30"/>
      <c r="AK10" s="30"/>
      <c r="AL10" s="30"/>
      <c r="AM10" s="30"/>
      <c r="AN10" s="30">
        <v>30</v>
      </c>
      <c r="AO10" s="30">
        <v>30</v>
      </c>
      <c r="AP10" s="30">
        <v>40</v>
      </c>
      <c r="AQ10" s="30"/>
      <c r="AR10" s="30"/>
      <c r="AS10" s="30"/>
      <c r="AT10" s="30"/>
      <c r="AU10" s="30"/>
      <c r="AV10" s="30"/>
      <c r="AW10" s="30"/>
      <c r="AX10" s="30"/>
    </row>
    <row r="11" ht="25.5" customHeight="1">
      <c r="A11" s="16"/>
      <c r="B11" t="s" s="17">
        <v>25</v>
      </c>
      <c r="C11" t="s" s="31">
        <v>26</v>
      </c>
      <c r="D11" t="s" s="32">
        <v>27</v>
      </c>
      <c r="E11" t="s" s="33">
        <v>34</v>
      </c>
      <c r="F11" t="s" s="21">
        <v>42</v>
      </c>
      <c r="G11" t="s" s="22">
        <v>40</v>
      </c>
      <c r="H11" s="23">
        <v>82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5"/>
      <c r="U11" s="26">
        <v>820</v>
      </c>
      <c r="V11" s="27">
        <v>165</v>
      </c>
      <c r="W11" s="28">
        <v>70</v>
      </c>
      <c r="X11" s="29">
        <f>SUM(V11,W11)</f>
        <v>235</v>
      </c>
      <c r="Y11" s="27">
        <f>X11*U11</f>
        <v>192700</v>
      </c>
      <c r="Z11" s="29">
        <f>Y11*100/$Y$237</f>
        <v>0.13131003803538</v>
      </c>
      <c r="AA11" s="30"/>
      <c r="AB11" s="30"/>
      <c r="AC11" s="30"/>
      <c r="AD11" s="30">
        <v>30</v>
      </c>
      <c r="AE11" s="30">
        <v>30</v>
      </c>
      <c r="AF11" s="30">
        <v>40</v>
      </c>
      <c r="AG11" s="30"/>
      <c r="AH11" s="30"/>
      <c r="AI11" s="30"/>
      <c r="AJ11" s="30"/>
      <c r="AK11" s="30"/>
      <c r="AL11" s="30"/>
      <c r="AM11" s="30"/>
      <c r="AN11" s="30">
        <v>30</v>
      </c>
      <c r="AO11" s="30">
        <v>30</v>
      </c>
      <c r="AP11" s="30">
        <v>40</v>
      </c>
      <c r="AQ11" s="30"/>
      <c r="AR11" s="30"/>
      <c r="AS11" s="30"/>
      <c r="AT11" s="30"/>
      <c r="AU11" s="30"/>
      <c r="AV11" s="30"/>
      <c r="AW11" s="30"/>
      <c r="AX11" s="30"/>
    </row>
    <row r="12" ht="25.5" customHeight="1">
      <c r="A12" s="16"/>
      <c r="B12" t="s" s="17">
        <v>25</v>
      </c>
      <c r="C12" t="s" s="31">
        <v>26</v>
      </c>
      <c r="D12" t="s" s="32">
        <v>27</v>
      </c>
      <c r="E12" t="s" s="33">
        <v>34</v>
      </c>
      <c r="F12" t="s" s="21">
        <v>43</v>
      </c>
      <c r="G12" t="s" s="22">
        <v>36</v>
      </c>
      <c r="H12" s="23">
        <v>1858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  <c r="U12" s="26">
        <f>SUM(H12:T12)</f>
        <v>1858</v>
      </c>
      <c r="V12" s="27">
        <v>1985</v>
      </c>
      <c r="W12" s="28">
        <v>265</v>
      </c>
      <c r="X12" s="29">
        <f>SUM(V12,W12)</f>
        <v>2250</v>
      </c>
      <c r="Y12" s="27">
        <f>X12*U12</f>
        <v>4180500</v>
      </c>
      <c r="Z12" s="29">
        <f>Y12*100/$Y$237</f>
        <v>2.84868507528234</v>
      </c>
      <c r="AA12" s="30"/>
      <c r="AB12" s="30"/>
      <c r="AC12" s="30"/>
      <c r="AD12" s="30">
        <v>30</v>
      </c>
      <c r="AE12" s="30">
        <v>30</v>
      </c>
      <c r="AF12" s="30">
        <v>40</v>
      </c>
      <c r="AG12" s="30"/>
      <c r="AH12" s="30"/>
      <c r="AI12" s="30"/>
      <c r="AJ12" s="30"/>
      <c r="AK12" s="30"/>
      <c r="AL12" s="30"/>
      <c r="AM12" s="30"/>
      <c r="AN12" s="30">
        <v>30</v>
      </c>
      <c r="AO12" s="30">
        <v>30</v>
      </c>
      <c r="AP12" s="30">
        <v>40</v>
      </c>
      <c r="AQ12" s="30"/>
      <c r="AR12" s="30"/>
      <c r="AS12" s="30"/>
      <c r="AT12" s="30"/>
      <c r="AU12" s="30"/>
      <c r="AV12" s="30"/>
      <c r="AW12" s="30"/>
      <c r="AX12" s="30"/>
    </row>
    <row r="13" ht="25.5" customHeight="1">
      <c r="A13" s="16"/>
      <c r="B13" t="s" s="17">
        <v>25</v>
      </c>
      <c r="C13" t="s" s="31">
        <v>26</v>
      </c>
      <c r="D13" t="s" s="32">
        <v>27</v>
      </c>
      <c r="E13" t="s" s="33">
        <v>34</v>
      </c>
      <c r="F13" t="s" s="21">
        <v>44</v>
      </c>
      <c r="G13" t="s" s="22">
        <v>40</v>
      </c>
      <c r="H13" s="23">
        <v>1220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  <c r="U13" s="26">
        <f>SUM(H13:T13)</f>
        <v>1220</v>
      </c>
      <c r="V13" s="27">
        <v>195</v>
      </c>
      <c r="W13" s="28">
        <v>260</v>
      </c>
      <c r="X13" s="29">
        <f>SUM(V13,W13)</f>
        <v>455</v>
      </c>
      <c r="Y13" s="27">
        <f>X13*U13</f>
        <v>555100</v>
      </c>
      <c r="Z13" s="29">
        <f>Y13*100/$Y$237</f>
        <v>0.378257405881886</v>
      </c>
      <c r="AA13" s="30"/>
      <c r="AB13" s="30"/>
      <c r="AC13" s="30"/>
      <c r="AD13" s="30">
        <v>30</v>
      </c>
      <c r="AE13" s="30">
        <v>30</v>
      </c>
      <c r="AF13" s="30">
        <v>40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>
        <v>30</v>
      </c>
      <c r="AQ13" s="30">
        <v>30</v>
      </c>
      <c r="AR13" s="30">
        <v>40</v>
      </c>
      <c r="AS13" s="30"/>
      <c r="AT13" s="30"/>
      <c r="AU13" s="30"/>
      <c r="AV13" s="30"/>
      <c r="AW13" s="30"/>
      <c r="AX13" s="30"/>
    </row>
    <row r="14" ht="25.5" customHeight="1">
      <c r="A14" s="16"/>
      <c r="B14" t="s" s="17">
        <v>25</v>
      </c>
      <c r="C14" t="s" s="31">
        <v>26</v>
      </c>
      <c r="D14" t="s" s="32">
        <v>27</v>
      </c>
      <c r="E14" t="s" s="33">
        <v>34</v>
      </c>
      <c r="F14" t="s" s="21">
        <v>45</v>
      </c>
      <c r="G14" t="s" s="22">
        <v>46</v>
      </c>
      <c r="H14" s="23">
        <v>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  <c r="U14" s="26">
        <f>SUM(H14:T14)</f>
        <v>0</v>
      </c>
      <c r="V14" s="27">
        <v>24</v>
      </c>
      <c r="W14" s="28">
        <v>5.5</v>
      </c>
      <c r="X14" s="29">
        <f>SUM(V14,W14)</f>
        <v>29.5</v>
      </c>
      <c r="Y14" s="27">
        <f>X14*U14</f>
        <v>0</v>
      </c>
      <c r="Z14" s="29">
        <f>Y14*100/$Y$237</f>
        <v>0</v>
      </c>
      <c r="AA14" s="30"/>
      <c r="AB14" s="30"/>
      <c r="AC14" s="30"/>
      <c r="AD14" s="30">
        <v>30</v>
      </c>
      <c r="AE14" s="30">
        <v>30</v>
      </c>
      <c r="AF14" s="30">
        <v>40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>
        <v>30</v>
      </c>
      <c r="AQ14" s="30">
        <v>30</v>
      </c>
      <c r="AR14" s="30">
        <v>40</v>
      </c>
      <c r="AS14" s="30"/>
      <c r="AT14" s="30"/>
      <c r="AU14" s="30"/>
      <c r="AV14" s="30"/>
      <c r="AW14" s="30"/>
      <c r="AX14" s="30"/>
    </row>
    <row r="15" ht="25.5" customHeight="1">
      <c r="A15" s="16"/>
      <c r="B15" t="s" s="17">
        <v>25</v>
      </c>
      <c r="C15" t="s" s="31">
        <v>26</v>
      </c>
      <c r="D15" t="s" s="32">
        <v>27</v>
      </c>
      <c r="E15" t="s" s="33">
        <v>34</v>
      </c>
      <c r="F15" t="s" s="21">
        <v>47</v>
      </c>
      <c r="G15" t="s" s="22">
        <v>46</v>
      </c>
      <c r="H15" s="23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  <c r="U15" s="26">
        <f>SUM(H15:T15)</f>
        <v>0</v>
      </c>
      <c r="V15" s="27">
        <v>23</v>
      </c>
      <c r="W15" s="28">
        <v>5.5</v>
      </c>
      <c r="X15" s="29">
        <f>SUM(V15,W15)</f>
        <v>28.5</v>
      </c>
      <c r="Y15" s="27">
        <f>X15*U15</f>
        <v>0</v>
      </c>
      <c r="Z15" s="29">
        <f>Y15*100/$Y$237</f>
        <v>0</v>
      </c>
      <c r="AA15" s="30"/>
      <c r="AB15" s="30"/>
      <c r="AC15" s="30"/>
      <c r="AD15" s="30">
        <v>30</v>
      </c>
      <c r="AE15" s="30">
        <v>30</v>
      </c>
      <c r="AF15" s="30">
        <v>40</v>
      </c>
      <c r="AG15" s="30"/>
      <c r="AH15" s="30"/>
      <c r="AI15" s="30"/>
      <c r="AJ15" s="30"/>
      <c r="AK15" s="30"/>
      <c r="AL15" s="30"/>
      <c r="AM15" s="30"/>
      <c r="AN15" s="30"/>
      <c r="AO15" s="30"/>
      <c r="AP15" s="30">
        <v>30</v>
      </c>
      <c r="AQ15" s="30">
        <v>30</v>
      </c>
      <c r="AR15" s="30">
        <v>40</v>
      </c>
      <c r="AS15" s="30"/>
      <c r="AT15" s="30"/>
      <c r="AU15" s="30"/>
      <c r="AV15" s="30"/>
      <c r="AW15" s="30"/>
      <c r="AX15" s="30"/>
    </row>
    <row r="16" ht="25.5" customHeight="1">
      <c r="A16" s="16"/>
      <c r="B16" t="s" s="17">
        <v>25</v>
      </c>
      <c r="C16" t="s" s="31">
        <v>26</v>
      </c>
      <c r="D16" t="s" s="32">
        <v>27</v>
      </c>
      <c r="E16" t="s" s="33">
        <v>34</v>
      </c>
      <c r="F16" t="s" s="21">
        <v>48</v>
      </c>
      <c r="G16" t="s" s="22">
        <v>46</v>
      </c>
      <c r="H16" s="23">
        <v>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26">
        <f>SUM(H16:T16)</f>
        <v>0</v>
      </c>
      <c r="V16" s="27">
        <v>23</v>
      </c>
      <c r="W16" s="28">
        <v>5.5</v>
      </c>
      <c r="X16" s="29">
        <f>SUM(V16,W16)</f>
        <v>28.5</v>
      </c>
      <c r="Y16" s="27">
        <f>X16*U16</f>
        <v>0</v>
      </c>
      <c r="Z16" s="29">
        <f>Y16*100/$Y$237</f>
        <v>0</v>
      </c>
      <c r="AA16" s="30"/>
      <c r="AB16" s="30"/>
      <c r="AC16" s="30"/>
      <c r="AD16" s="30">
        <v>30</v>
      </c>
      <c r="AE16" s="30">
        <v>30</v>
      </c>
      <c r="AF16" s="30">
        <v>40</v>
      </c>
      <c r="AG16" s="30"/>
      <c r="AH16" s="30"/>
      <c r="AI16" s="30"/>
      <c r="AJ16" s="30"/>
      <c r="AK16" s="30"/>
      <c r="AL16" s="30"/>
      <c r="AM16" s="30"/>
      <c r="AN16" s="30"/>
      <c r="AO16" s="30"/>
      <c r="AP16" s="30">
        <v>30</v>
      </c>
      <c r="AQ16" s="30">
        <v>30</v>
      </c>
      <c r="AR16" s="30">
        <v>40</v>
      </c>
      <c r="AS16" s="30"/>
      <c r="AT16" s="30"/>
      <c r="AU16" s="30"/>
      <c r="AV16" s="30"/>
      <c r="AW16" s="30"/>
      <c r="AX16" s="30"/>
    </row>
    <row r="17" ht="25.5" customHeight="1">
      <c r="A17" s="16"/>
      <c r="B17" t="s" s="17">
        <v>25</v>
      </c>
      <c r="C17" t="s" s="31">
        <v>26</v>
      </c>
      <c r="D17" t="s" s="32">
        <v>27</v>
      </c>
      <c r="E17" t="s" s="33">
        <v>34</v>
      </c>
      <c r="F17" t="s" s="21">
        <v>49</v>
      </c>
      <c r="G17" t="s" s="22">
        <v>46</v>
      </c>
      <c r="H17" s="23">
        <v>279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6">
        <f>SUM(H17:T17)</f>
        <v>279</v>
      </c>
      <c r="V17" s="27">
        <v>22.5</v>
      </c>
      <c r="W17" s="28">
        <v>5</v>
      </c>
      <c r="X17" s="29">
        <f>SUM(V17,W17)</f>
        <v>27.5</v>
      </c>
      <c r="Y17" s="27">
        <f>X17*U17</f>
        <v>7672.5</v>
      </c>
      <c r="Z17" s="29">
        <f>Y17*100/$Y$237</f>
        <v>0.00522821103698212</v>
      </c>
      <c r="AA17" s="30"/>
      <c r="AB17" s="30"/>
      <c r="AC17" s="30"/>
      <c r="AD17" s="30">
        <v>30</v>
      </c>
      <c r="AE17" s="30">
        <v>30</v>
      </c>
      <c r="AF17" s="30">
        <v>40</v>
      </c>
      <c r="AG17" s="30"/>
      <c r="AH17" s="30"/>
      <c r="AI17" s="30"/>
      <c r="AJ17" s="30"/>
      <c r="AK17" s="30"/>
      <c r="AL17" s="30"/>
      <c r="AM17" s="30"/>
      <c r="AN17" s="30"/>
      <c r="AO17" s="30"/>
      <c r="AP17" s="30">
        <v>30</v>
      </c>
      <c r="AQ17" s="30">
        <v>30</v>
      </c>
      <c r="AR17" s="30">
        <v>40</v>
      </c>
      <c r="AS17" s="30"/>
      <c r="AT17" s="30"/>
      <c r="AU17" s="30"/>
      <c r="AV17" s="30"/>
      <c r="AW17" s="30"/>
      <c r="AX17" s="30"/>
    </row>
    <row r="18" ht="25.5" customHeight="1">
      <c r="A18" s="16"/>
      <c r="B18" t="s" s="17">
        <v>25</v>
      </c>
      <c r="C18" t="s" s="31">
        <v>26</v>
      </c>
      <c r="D18" t="s" s="32">
        <v>27</v>
      </c>
      <c r="E18" t="s" s="33">
        <v>34</v>
      </c>
      <c r="F18" t="s" s="21">
        <v>50</v>
      </c>
      <c r="G18" t="s" s="22">
        <v>46</v>
      </c>
      <c r="H18" s="23">
        <v>27341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  <c r="U18" s="26">
        <f>SUM(H18:T18)</f>
        <v>27341</v>
      </c>
      <c r="V18" s="27">
        <v>22</v>
      </c>
      <c r="W18" s="28">
        <v>5</v>
      </c>
      <c r="X18" s="29">
        <f>SUM(V18,W18)</f>
        <v>27</v>
      </c>
      <c r="Y18" s="27">
        <f>X18*U18</f>
        <v>738207</v>
      </c>
      <c r="Z18" s="29">
        <f>Y18*100/$Y$237</f>
        <v>0.503030561743559</v>
      </c>
      <c r="AA18" s="30"/>
      <c r="AB18" s="30"/>
      <c r="AC18" s="30"/>
      <c r="AD18" s="30">
        <v>30</v>
      </c>
      <c r="AE18" s="30">
        <v>30</v>
      </c>
      <c r="AF18" s="30">
        <v>40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>
        <v>30</v>
      </c>
      <c r="AQ18" s="30">
        <v>30</v>
      </c>
      <c r="AR18" s="30">
        <v>40</v>
      </c>
      <c r="AS18" s="30"/>
      <c r="AT18" s="30"/>
      <c r="AU18" s="30"/>
      <c r="AV18" s="30"/>
      <c r="AW18" s="30"/>
      <c r="AX18" s="30"/>
    </row>
    <row r="19" ht="25.5" customHeight="1">
      <c r="A19" s="16"/>
      <c r="B19" t="s" s="17">
        <v>25</v>
      </c>
      <c r="C19" t="s" s="31">
        <v>26</v>
      </c>
      <c r="D19" t="s" s="32">
        <v>27</v>
      </c>
      <c r="E19" t="s" s="33">
        <v>34</v>
      </c>
      <c r="F19" t="s" s="21">
        <v>51</v>
      </c>
      <c r="G19" t="s" s="22">
        <v>46</v>
      </c>
      <c r="H19" s="23">
        <v>10179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  <c r="U19" s="26">
        <f>SUM(H19:T19)</f>
        <v>10179</v>
      </c>
      <c r="V19" s="27">
        <v>22.5</v>
      </c>
      <c r="W19" s="28">
        <v>4.5</v>
      </c>
      <c r="X19" s="29">
        <f>SUM(V19,W19)</f>
        <v>27</v>
      </c>
      <c r="Y19" s="27">
        <f>X19*U19</f>
        <v>274833</v>
      </c>
      <c r="Z19" s="29">
        <f>Y19*100/$Y$237</f>
        <v>0.187277279104191</v>
      </c>
      <c r="AA19" s="30"/>
      <c r="AB19" s="30"/>
      <c r="AC19" s="30"/>
      <c r="AD19" s="30">
        <v>30</v>
      </c>
      <c r="AE19" s="30">
        <v>30</v>
      </c>
      <c r="AF19" s="30">
        <v>40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>
        <v>30</v>
      </c>
      <c r="AQ19" s="30">
        <v>30</v>
      </c>
      <c r="AR19" s="30">
        <v>40</v>
      </c>
      <c r="AS19" s="30"/>
      <c r="AT19" s="30"/>
      <c r="AU19" s="30"/>
      <c r="AV19" s="30"/>
      <c r="AW19" s="30"/>
      <c r="AX19" s="30"/>
    </row>
    <row r="20" ht="25.5" customHeight="1">
      <c r="A20" s="16"/>
      <c r="B20" t="s" s="17">
        <v>25</v>
      </c>
      <c r="C20" t="s" s="31">
        <v>26</v>
      </c>
      <c r="D20" t="s" s="32">
        <v>27</v>
      </c>
      <c r="E20" t="s" s="33">
        <v>34</v>
      </c>
      <c r="F20" t="s" s="21">
        <v>52</v>
      </c>
      <c r="G20" t="s" s="22">
        <v>46</v>
      </c>
      <c r="H20" s="23">
        <v>89151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  <c r="U20" s="26">
        <f>SUM(H20:T20)</f>
        <v>89151</v>
      </c>
      <c r="V20" s="27">
        <v>22.5</v>
      </c>
      <c r="W20" s="28">
        <v>4.5</v>
      </c>
      <c r="X20" s="29">
        <f>SUM(V20,W20)</f>
        <v>27</v>
      </c>
      <c r="Y20" s="27">
        <f>X20*U20</f>
        <v>2407077</v>
      </c>
      <c r="Z20" s="29">
        <f>Y20*100/$Y$237</f>
        <v>1.64023545627446</v>
      </c>
      <c r="AA20" s="30"/>
      <c r="AB20" s="30"/>
      <c r="AC20" s="30"/>
      <c r="AD20" s="30">
        <v>30</v>
      </c>
      <c r="AE20" s="30">
        <v>30</v>
      </c>
      <c r="AF20" s="30">
        <v>40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30">
        <v>30</v>
      </c>
      <c r="AQ20" s="30">
        <v>30</v>
      </c>
      <c r="AR20" s="30">
        <v>40</v>
      </c>
      <c r="AS20" s="30"/>
      <c r="AT20" s="30"/>
      <c r="AU20" s="30"/>
      <c r="AV20" s="30"/>
      <c r="AW20" s="30"/>
      <c r="AX20" s="30"/>
    </row>
    <row r="21" ht="25.5" customHeight="1">
      <c r="A21" s="16"/>
      <c r="B21" t="s" s="17">
        <v>25</v>
      </c>
      <c r="C21" t="s" s="31">
        <v>26</v>
      </c>
      <c r="D21" t="s" s="32">
        <v>27</v>
      </c>
      <c r="E21" t="s" s="33">
        <v>34</v>
      </c>
      <c r="F21" t="s" s="21">
        <v>53</v>
      </c>
      <c r="G21" t="s" s="22">
        <v>46</v>
      </c>
      <c r="H21" s="23">
        <v>178586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26">
        <f>SUM(H21:T21)</f>
        <v>178586</v>
      </c>
      <c r="V21" s="27">
        <v>22.5</v>
      </c>
      <c r="W21" s="28">
        <v>4.5</v>
      </c>
      <c r="X21" s="29">
        <f>SUM(V21,W21)</f>
        <v>27</v>
      </c>
      <c r="Y21" s="27">
        <f>X21*U21</f>
        <v>4821822</v>
      </c>
      <c r="Z21" s="29">
        <f>Y21*100/$Y$237</f>
        <v>3.28569605718647</v>
      </c>
      <c r="AA21" s="30"/>
      <c r="AB21" s="30"/>
      <c r="AC21" s="30"/>
      <c r="AD21" s="30">
        <v>30</v>
      </c>
      <c r="AE21" s="30">
        <v>30</v>
      </c>
      <c r="AF21" s="30">
        <v>40</v>
      </c>
      <c r="AG21" s="30"/>
      <c r="AH21" s="30"/>
      <c r="AI21" s="30"/>
      <c r="AJ21" s="30"/>
      <c r="AK21" s="30"/>
      <c r="AL21" s="30"/>
      <c r="AM21" s="30"/>
      <c r="AN21" s="30"/>
      <c r="AO21" s="30"/>
      <c r="AP21" s="30">
        <v>30</v>
      </c>
      <c r="AQ21" s="30">
        <v>30</v>
      </c>
      <c r="AR21" s="30">
        <v>40</v>
      </c>
      <c r="AS21" s="30"/>
      <c r="AT21" s="30"/>
      <c r="AU21" s="30"/>
      <c r="AV21" s="30"/>
      <c r="AW21" s="30"/>
      <c r="AX21" s="30"/>
    </row>
    <row r="22" ht="25.5" customHeight="1">
      <c r="A22" s="16"/>
      <c r="B22" t="s" s="17">
        <v>25</v>
      </c>
      <c r="C22" t="s" s="31">
        <v>26</v>
      </c>
      <c r="D22" t="s" s="32">
        <v>27</v>
      </c>
      <c r="E22" t="s" s="33">
        <v>34</v>
      </c>
      <c r="F22" t="s" s="21">
        <v>54</v>
      </c>
      <c r="G22" t="s" s="22">
        <v>46</v>
      </c>
      <c r="H22" s="23">
        <v>108769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  <c r="U22" s="26">
        <f>SUM(H22:T22)</f>
        <v>108769</v>
      </c>
      <c r="V22" s="27">
        <v>22.5</v>
      </c>
      <c r="W22" s="28">
        <v>4.5</v>
      </c>
      <c r="X22" s="29">
        <f>SUM(V22,W22)</f>
        <v>27</v>
      </c>
      <c r="Y22" s="27">
        <f>X22*U22</f>
        <v>2936763</v>
      </c>
      <c r="Z22" s="29">
        <f>Y22*100/$Y$237</f>
        <v>2.00117520099064</v>
      </c>
      <c r="AA22" s="30"/>
      <c r="AB22" s="30"/>
      <c r="AC22" s="30"/>
      <c r="AD22" s="30">
        <v>30</v>
      </c>
      <c r="AE22" s="30">
        <v>30</v>
      </c>
      <c r="AF22" s="30">
        <v>40</v>
      </c>
      <c r="AG22" s="30"/>
      <c r="AH22" s="30"/>
      <c r="AI22" s="30"/>
      <c r="AJ22" s="30"/>
      <c r="AK22" s="30"/>
      <c r="AL22" s="30"/>
      <c r="AM22" s="30"/>
      <c r="AN22" s="30"/>
      <c r="AO22" s="30"/>
      <c r="AP22" s="30">
        <v>30</v>
      </c>
      <c r="AQ22" s="30">
        <v>30</v>
      </c>
      <c r="AR22" s="30">
        <v>40</v>
      </c>
      <c r="AS22" s="30"/>
      <c r="AT22" s="30"/>
      <c r="AU22" s="30"/>
      <c r="AV22" s="30"/>
      <c r="AW22" s="30"/>
      <c r="AX22" s="30"/>
    </row>
    <row r="23" ht="25.5" customHeight="1">
      <c r="A23" s="16"/>
      <c r="B23" t="s" s="17">
        <v>25</v>
      </c>
      <c r="C23" t="s" s="31">
        <v>26</v>
      </c>
      <c r="D23" t="s" s="32">
        <v>27</v>
      </c>
      <c r="E23" t="s" s="33">
        <v>34</v>
      </c>
      <c r="F23" t="s" s="21">
        <v>55</v>
      </c>
      <c r="G23" t="s" s="22">
        <v>46</v>
      </c>
      <c r="H23" s="23">
        <v>0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  <c r="U23" s="26">
        <f>SUM(H23:T23)</f>
        <v>0</v>
      </c>
      <c r="V23" s="27">
        <v>24</v>
      </c>
      <c r="W23" s="28">
        <v>5.5</v>
      </c>
      <c r="X23" s="29">
        <f>SUM(V23,W23)</f>
        <v>29.5</v>
      </c>
      <c r="Y23" s="27">
        <f>X23*U23</f>
        <v>0</v>
      </c>
      <c r="Z23" s="29">
        <f>Y23*100/$Y$237</f>
        <v>0</v>
      </c>
      <c r="AA23" s="30"/>
      <c r="AB23" s="30"/>
      <c r="AC23" s="30"/>
      <c r="AD23" s="30">
        <v>30</v>
      </c>
      <c r="AE23" s="30">
        <v>30</v>
      </c>
      <c r="AF23" s="30">
        <v>40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>
        <v>30</v>
      </c>
      <c r="AQ23" s="30">
        <v>30</v>
      </c>
      <c r="AR23" s="30">
        <v>40</v>
      </c>
      <c r="AS23" s="30"/>
      <c r="AT23" s="30"/>
      <c r="AU23" s="30"/>
      <c r="AV23" s="30"/>
      <c r="AW23" s="30"/>
      <c r="AX23" s="30"/>
    </row>
    <row r="24" ht="25.5" customHeight="1">
      <c r="A24" s="16"/>
      <c r="B24" t="s" s="17">
        <v>25</v>
      </c>
      <c r="C24" t="s" s="31">
        <v>26</v>
      </c>
      <c r="D24" t="s" s="32">
        <v>27</v>
      </c>
      <c r="E24" t="s" s="33">
        <v>56</v>
      </c>
      <c r="F24" t="s" s="21">
        <v>57</v>
      </c>
      <c r="G24" t="s" s="22">
        <v>36</v>
      </c>
      <c r="H24" s="23">
        <v>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  <c r="U24" s="26">
        <f>SUM(H24:T24)</f>
        <v>0</v>
      </c>
      <c r="V24" s="27">
        <v>0</v>
      </c>
      <c r="W24" s="28">
        <v>110</v>
      </c>
      <c r="X24" s="29">
        <f>SUM(V24,W24)</f>
        <v>110</v>
      </c>
      <c r="Y24" s="27">
        <f>X24*U24</f>
        <v>0</v>
      </c>
      <c r="Z24" s="29">
        <f>Y24*100/$Y$237</f>
        <v>0</v>
      </c>
      <c r="AA24" s="30"/>
      <c r="AB24" s="30"/>
      <c r="AC24" s="30"/>
      <c r="AD24" s="30"/>
      <c r="AE24" s="30"/>
      <c r="AF24" s="30">
        <v>80</v>
      </c>
      <c r="AG24" s="30">
        <v>20</v>
      </c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>
        <v>80</v>
      </c>
      <c r="AS24" s="30">
        <v>20</v>
      </c>
      <c r="AT24" s="30"/>
      <c r="AU24" s="30"/>
      <c r="AV24" s="30"/>
      <c r="AW24" s="30"/>
      <c r="AX24" s="30"/>
    </row>
    <row r="25" ht="25.5" customHeight="1">
      <c r="A25" s="16"/>
      <c r="B25" t="s" s="17">
        <v>25</v>
      </c>
      <c r="C25" t="s" s="31">
        <v>26</v>
      </c>
      <c r="D25" t="s" s="32">
        <v>27</v>
      </c>
      <c r="E25" t="s" s="33">
        <v>56</v>
      </c>
      <c r="F25" t="s" s="21">
        <v>58</v>
      </c>
      <c r="G25" t="s" s="22">
        <v>36</v>
      </c>
      <c r="H25" s="23">
        <v>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5"/>
      <c r="U25" s="26">
        <f>SUM(H25:T25)</f>
        <v>0</v>
      </c>
      <c r="V25" s="27">
        <v>0</v>
      </c>
      <c r="W25" s="28">
        <v>70</v>
      </c>
      <c r="X25" s="29">
        <f>SUM(V25,W25)</f>
        <v>70</v>
      </c>
      <c r="Y25" s="27">
        <f>X25*U25</f>
        <v>0</v>
      </c>
      <c r="Z25" s="29">
        <f>Y25*100/$Y$237</f>
        <v>0</v>
      </c>
      <c r="AA25" s="30"/>
      <c r="AB25" s="30"/>
      <c r="AC25" s="30"/>
      <c r="AD25" s="30"/>
      <c r="AE25" s="30"/>
      <c r="AF25" s="30">
        <v>80</v>
      </c>
      <c r="AG25" s="30">
        <v>20</v>
      </c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>
        <v>80</v>
      </c>
      <c r="AS25" s="30">
        <v>20</v>
      </c>
      <c r="AT25" s="30"/>
      <c r="AU25" s="30"/>
      <c r="AV25" s="30"/>
      <c r="AW25" s="30"/>
      <c r="AX25" s="30"/>
    </row>
    <row r="26" ht="25.5" customHeight="1">
      <c r="A26" s="16"/>
      <c r="B26" t="s" s="17">
        <v>25</v>
      </c>
      <c r="C26" t="s" s="31">
        <v>26</v>
      </c>
      <c r="D26" t="s" s="32">
        <v>27</v>
      </c>
      <c r="E26" t="s" s="33">
        <v>56</v>
      </c>
      <c r="F26" t="s" s="21">
        <v>59</v>
      </c>
      <c r="G26" t="s" s="22">
        <v>36</v>
      </c>
      <c r="H26" s="23">
        <v>0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5"/>
      <c r="U26" s="26">
        <f>SUM(H26:T26)</f>
        <v>0</v>
      </c>
      <c r="V26" s="27">
        <v>0</v>
      </c>
      <c r="W26" s="28">
        <v>110</v>
      </c>
      <c r="X26" s="29">
        <f>SUM(V26,W26)</f>
        <v>110</v>
      </c>
      <c r="Y26" s="27">
        <f>X26*U26</f>
        <v>0</v>
      </c>
      <c r="Z26" s="29">
        <f>Y26*100/$Y$237</f>
        <v>0</v>
      </c>
      <c r="AA26" s="30"/>
      <c r="AB26" s="30"/>
      <c r="AC26" s="30"/>
      <c r="AD26" s="30"/>
      <c r="AE26" s="30"/>
      <c r="AF26" s="30">
        <v>80</v>
      </c>
      <c r="AG26" s="30">
        <v>20</v>
      </c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>
        <v>80</v>
      </c>
      <c r="AS26" s="30">
        <v>20</v>
      </c>
      <c r="AT26" s="30"/>
      <c r="AU26" s="30"/>
      <c r="AV26" s="30"/>
      <c r="AW26" s="30"/>
      <c r="AX26" s="30"/>
    </row>
    <row r="27" ht="25.5" customHeight="1">
      <c r="A27" s="16"/>
      <c r="B27" t="s" s="17">
        <v>25</v>
      </c>
      <c r="C27" t="s" s="31">
        <v>26</v>
      </c>
      <c r="D27" t="s" s="32">
        <v>27</v>
      </c>
      <c r="E27" t="s" s="33">
        <v>56</v>
      </c>
      <c r="F27" t="s" s="21">
        <v>39</v>
      </c>
      <c r="G27" t="s" s="22">
        <v>40</v>
      </c>
      <c r="H27" s="23">
        <v>0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5"/>
      <c r="U27" s="26">
        <f>SUM(H27:T27)</f>
        <v>0</v>
      </c>
      <c r="V27" s="27">
        <v>0</v>
      </c>
      <c r="W27" s="28">
        <v>35</v>
      </c>
      <c r="X27" s="29">
        <f>SUM(V27,W27)</f>
        <v>35</v>
      </c>
      <c r="Y27" s="27">
        <f>X27*U27</f>
        <v>0</v>
      </c>
      <c r="Z27" s="29">
        <f>Y27*100/$Y$237</f>
        <v>0</v>
      </c>
      <c r="AA27" s="30"/>
      <c r="AB27" s="30"/>
      <c r="AC27" s="30"/>
      <c r="AD27" s="30"/>
      <c r="AE27" s="30"/>
      <c r="AF27" s="30">
        <v>80</v>
      </c>
      <c r="AG27" s="30">
        <v>20</v>
      </c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>
        <v>80</v>
      </c>
      <c r="AS27" s="30">
        <v>20</v>
      </c>
      <c r="AT27" s="30"/>
      <c r="AU27" s="30"/>
      <c r="AV27" s="30"/>
      <c r="AW27" s="30"/>
      <c r="AX27" s="30"/>
    </row>
    <row r="28" ht="25.5" customHeight="1">
      <c r="A28" s="16"/>
      <c r="B28" t="s" s="17">
        <v>25</v>
      </c>
      <c r="C28" t="s" s="31">
        <v>26</v>
      </c>
      <c r="D28" t="s" s="32">
        <v>27</v>
      </c>
      <c r="E28" t="s" s="33">
        <v>56</v>
      </c>
      <c r="F28" t="s" s="21">
        <v>41</v>
      </c>
      <c r="G28" t="s" s="22">
        <v>40</v>
      </c>
      <c r="H28" s="34">
        <v>400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5"/>
      <c r="U28" s="26">
        <f>SUM(H28:T28)</f>
        <v>400</v>
      </c>
      <c r="V28" s="35">
        <v>95</v>
      </c>
      <c r="W28" s="36">
        <v>15</v>
      </c>
      <c r="X28" s="29">
        <f>SUM(V28,W28)</f>
        <v>110</v>
      </c>
      <c r="Y28" s="35">
        <f>X28*U28</f>
        <v>44000</v>
      </c>
      <c r="Z28" s="29">
        <f>Y28*100/$Y$237</f>
        <v>0.0299825722550946</v>
      </c>
      <c r="AA28" s="30"/>
      <c r="AB28" s="30"/>
      <c r="AC28" s="30"/>
      <c r="AD28" s="30"/>
      <c r="AE28" s="30"/>
      <c r="AF28" s="30">
        <v>80</v>
      </c>
      <c r="AG28" s="30">
        <v>20</v>
      </c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>
        <v>80</v>
      </c>
      <c r="AS28" s="30">
        <v>20</v>
      </c>
      <c r="AT28" s="30"/>
      <c r="AU28" s="30"/>
      <c r="AV28" s="30"/>
      <c r="AW28" s="30"/>
      <c r="AX28" s="30"/>
    </row>
    <row r="29" ht="25.5" customHeight="1">
      <c r="A29" s="16"/>
      <c r="B29" t="s" s="17">
        <v>25</v>
      </c>
      <c r="C29" t="s" s="31">
        <v>26</v>
      </c>
      <c r="D29" t="s" s="32">
        <v>27</v>
      </c>
      <c r="E29" t="s" s="33">
        <v>56</v>
      </c>
      <c r="F29" t="s" s="21">
        <v>42</v>
      </c>
      <c r="G29" t="s" s="22">
        <v>40</v>
      </c>
      <c r="H29" s="34">
        <v>400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5"/>
      <c r="U29" s="26">
        <f>SUM(H29:T29)</f>
        <v>400</v>
      </c>
      <c r="V29" s="35">
        <v>165</v>
      </c>
      <c r="W29" s="36">
        <v>70</v>
      </c>
      <c r="X29" s="29">
        <f>SUM(V29,W29)</f>
        <v>235</v>
      </c>
      <c r="Y29" s="35">
        <f>X29*U29</f>
        <v>94000</v>
      </c>
      <c r="Z29" s="29">
        <f>Y29*100/$Y$237</f>
        <v>0.06405367709042931</v>
      </c>
      <c r="AA29" s="30"/>
      <c r="AB29" s="30"/>
      <c r="AC29" s="30"/>
      <c r="AD29" s="30"/>
      <c r="AE29" s="30"/>
      <c r="AF29" s="30">
        <v>80</v>
      </c>
      <c r="AG29" s="30">
        <v>20</v>
      </c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>
        <v>80</v>
      </c>
      <c r="AS29" s="30">
        <v>20</v>
      </c>
      <c r="AT29" s="30"/>
      <c r="AU29" s="30"/>
      <c r="AV29" s="30"/>
      <c r="AW29" s="30"/>
      <c r="AX29" s="30"/>
    </row>
    <row r="30" ht="25.5" customHeight="1">
      <c r="A30" s="16"/>
      <c r="B30" t="s" s="17">
        <v>25</v>
      </c>
      <c r="C30" t="s" s="31">
        <v>26</v>
      </c>
      <c r="D30" t="s" s="32">
        <v>27</v>
      </c>
      <c r="E30" t="s" s="33">
        <v>56</v>
      </c>
      <c r="F30" t="s" s="21">
        <v>43</v>
      </c>
      <c r="G30" t="s" s="22">
        <v>36</v>
      </c>
      <c r="H30" s="23">
        <v>1077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5"/>
      <c r="U30" s="26">
        <f>SUM(H30:T30)</f>
        <v>1077</v>
      </c>
      <c r="V30" s="35">
        <v>1985</v>
      </c>
      <c r="W30" s="36">
        <v>265</v>
      </c>
      <c r="X30" s="29">
        <f>SUM(V30,W30)</f>
        <v>2250</v>
      </c>
      <c r="Y30" s="35">
        <f>X30*U30</f>
        <v>2423250</v>
      </c>
      <c r="Z30" s="29">
        <f>Y30*100/$Y$237</f>
        <v>1.6512560958445</v>
      </c>
      <c r="AA30" s="30"/>
      <c r="AB30" s="30"/>
      <c r="AC30" s="30"/>
      <c r="AD30" s="30"/>
      <c r="AE30" s="30"/>
      <c r="AF30" s="30">
        <v>80</v>
      </c>
      <c r="AG30" s="30">
        <v>20</v>
      </c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>
        <v>80</v>
      </c>
      <c r="AS30" s="30">
        <v>20</v>
      </c>
      <c r="AT30" s="30"/>
      <c r="AU30" s="30"/>
      <c r="AV30" s="30"/>
      <c r="AW30" s="30"/>
      <c r="AX30" s="30"/>
    </row>
    <row r="31" ht="25.5" customHeight="1">
      <c r="A31" s="16"/>
      <c r="B31" t="s" s="17">
        <v>25</v>
      </c>
      <c r="C31" t="s" s="31">
        <v>26</v>
      </c>
      <c r="D31" t="s" s="32">
        <v>27</v>
      </c>
      <c r="E31" t="s" s="33">
        <v>56</v>
      </c>
      <c r="F31" t="s" s="21">
        <v>44</v>
      </c>
      <c r="G31" t="s" s="22">
        <v>40</v>
      </c>
      <c r="H31" s="23">
        <v>228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5"/>
      <c r="U31" s="26">
        <f>SUM(H31:T31)</f>
        <v>228</v>
      </c>
      <c r="V31" s="27">
        <v>195</v>
      </c>
      <c r="W31" s="28">
        <v>260</v>
      </c>
      <c r="X31" s="29">
        <f>SUM(V31,W31)</f>
        <v>455</v>
      </c>
      <c r="Y31" s="27">
        <f>X31*U31</f>
        <v>103740</v>
      </c>
      <c r="Z31" s="29">
        <f>Y31*100/$Y$237</f>
        <v>0.0706907283123525</v>
      </c>
      <c r="AA31" s="30"/>
      <c r="AB31" s="30"/>
      <c r="AC31" s="30"/>
      <c r="AD31" s="30"/>
      <c r="AE31" s="30"/>
      <c r="AF31" s="30">
        <v>80</v>
      </c>
      <c r="AG31" s="30">
        <v>20</v>
      </c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>
        <v>80</v>
      </c>
      <c r="AS31" s="30">
        <v>20</v>
      </c>
      <c r="AT31" s="30"/>
      <c r="AU31" s="30"/>
      <c r="AV31" s="30"/>
      <c r="AW31" s="30"/>
      <c r="AX31" s="30"/>
    </row>
    <row r="32" ht="25.5" customHeight="1">
      <c r="A32" s="16"/>
      <c r="B32" t="s" s="17">
        <v>25</v>
      </c>
      <c r="C32" t="s" s="31">
        <v>26</v>
      </c>
      <c r="D32" t="s" s="32">
        <v>27</v>
      </c>
      <c r="E32" t="s" s="33">
        <v>56</v>
      </c>
      <c r="F32" t="s" s="21">
        <v>45</v>
      </c>
      <c r="G32" t="s" s="22">
        <v>46</v>
      </c>
      <c r="H32" s="23">
        <v>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6">
        <f>SUM(H32:T32)</f>
        <v>0</v>
      </c>
      <c r="V32" s="27">
        <v>24</v>
      </c>
      <c r="W32" s="28">
        <v>5.5</v>
      </c>
      <c r="X32" s="29">
        <f>SUM(V32,W32)</f>
        <v>29.5</v>
      </c>
      <c r="Y32" s="27">
        <f>X32*U32</f>
        <v>0</v>
      </c>
      <c r="Z32" s="29">
        <f>Y32*100/$Y$237</f>
        <v>0</v>
      </c>
      <c r="AA32" s="30"/>
      <c r="AB32" s="30"/>
      <c r="AC32" s="30"/>
      <c r="AD32" s="30"/>
      <c r="AE32" s="30"/>
      <c r="AF32" s="30">
        <v>80</v>
      </c>
      <c r="AG32" s="30">
        <v>20</v>
      </c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>
        <v>80</v>
      </c>
      <c r="AS32" s="30">
        <v>20</v>
      </c>
      <c r="AT32" s="30"/>
      <c r="AU32" s="30"/>
      <c r="AV32" s="30"/>
      <c r="AW32" s="30"/>
      <c r="AX32" s="30"/>
    </row>
    <row r="33" ht="25.5" customHeight="1">
      <c r="A33" s="16"/>
      <c r="B33" t="s" s="17">
        <v>25</v>
      </c>
      <c r="C33" t="s" s="31">
        <v>26</v>
      </c>
      <c r="D33" t="s" s="32">
        <v>27</v>
      </c>
      <c r="E33" t="s" s="33">
        <v>56</v>
      </c>
      <c r="F33" t="s" s="21">
        <v>47</v>
      </c>
      <c r="G33" t="s" s="22">
        <v>46</v>
      </c>
      <c r="H33" s="23">
        <v>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5"/>
      <c r="U33" s="26">
        <f>SUM(H33:T33)</f>
        <v>0</v>
      </c>
      <c r="V33" s="27">
        <v>23</v>
      </c>
      <c r="W33" s="28">
        <v>5.5</v>
      </c>
      <c r="X33" s="29">
        <f>SUM(V33,W33)</f>
        <v>28.5</v>
      </c>
      <c r="Y33" s="27">
        <f>X33*U33</f>
        <v>0</v>
      </c>
      <c r="Z33" s="29">
        <f>Y33*100/$Y$237</f>
        <v>0</v>
      </c>
      <c r="AA33" s="30"/>
      <c r="AB33" s="30"/>
      <c r="AC33" s="30"/>
      <c r="AD33" s="30"/>
      <c r="AE33" s="30"/>
      <c r="AF33" s="30">
        <v>80</v>
      </c>
      <c r="AG33" s="30">
        <v>20</v>
      </c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>
        <v>80</v>
      </c>
      <c r="AS33" s="30">
        <v>20</v>
      </c>
      <c r="AT33" s="30"/>
      <c r="AU33" s="30"/>
      <c r="AV33" s="30"/>
      <c r="AW33" s="30"/>
      <c r="AX33" s="30"/>
    </row>
    <row r="34" ht="25.5" customHeight="1">
      <c r="A34" s="16"/>
      <c r="B34" t="s" s="17">
        <v>25</v>
      </c>
      <c r="C34" t="s" s="31">
        <v>26</v>
      </c>
      <c r="D34" t="s" s="32">
        <v>27</v>
      </c>
      <c r="E34" t="s" s="33">
        <v>56</v>
      </c>
      <c r="F34" t="s" s="21">
        <v>48</v>
      </c>
      <c r="G34" t="s" s="22">
        <v>46</v>
      </c>
      <c r="H34" s="23">
        <v>0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5"/>
      <c r="U34" s="26">
        <f>SUM(H34:T34)</f>
        <v>0</v>
      </c>
      <c r="V34" s="27">
        <v>23</v>
      </c>
      <c r="W34" s="28">
        <v>5.5</v>
      </c>
      <c r="X34" s="29">
        <f>SUM(V34,W34)</f>
        <v>28.5</v>
      </c>
      <c r="Y34" s="27">
        <f>X34*U34</f>
        <v>0</v>
      </c>
      <c r="Z34" s="29">
        <f>Y34*100/$Y$237</f>
        <v>0</v>
      </c>
      <c r="AA34" s="30"/>
      <c r="AB34" s="30"/>
      <c r="AC34" s="30"/>
      <c r="AD34" s="30"/>
      <c r="AE34" s="30"/>
      <c r="AF34" s="30">
        <v>80</v>
      </c>
      <c r="AG34" s="30">
        <v>20</v>
      </c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>
        <v>80</v>
      </c>
      <c r="AS34" s="30">
        <v>20</v>
      </c>
      <c r="AT34" s="30"/>
      <c r="AU34" s="30"/>
      <c r="AV34" s="30"/>
      <c r="AW34" s="30"/>
      <c r="AX34" s="30"/>
    </row>
    <row r="35" ht="25.5" customHeight="1">
      <c r="A35" s="16"/>
      <c r="B35" t="s" s="17">
        <v>25</v>
      </c>
      <c r="C35" t="s" s="31">
        <v>26</v>
      </c>
      <c r="D35" t="s" s="32">
        <v>27</v>
      </c>
      <c r="E35" t="s" s="33">
        <v>56</v>
      </c>
      <c r="F35" t="s" s="21">
        <v>49</v>
      </c>
      <c r="G35" t="s" s="22">
        <v>46</v>
      </c>
      <c r="H35" s="23">
        <v>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26">
        <f>SUM(H35:T35)</f>
        <v>0</v>
      </c>
      <c r="V35" s="27">
        <v>22.5</v>
      </c>
      <c r="W35" s="28">
        <v>5</v>
      </c>
      <c r="X35" s="29">
        <f>SUM(V35,W35)</f>
        <v>27.5</v>
      </c>
      <c r="Y35" s="27">
        <f>X35*U35</f>
        <v>0</v>
      </c>
      <c r="Z35" s="29">
        <f>Y35*100/$Y$237</f>
        <v>0</v>
      </c>
      <c r="AA35" s="30"/>
      <c r="AB35" s="30"/>
      <c r="AC35" s="30"/>
      <c r="AD35" s="30"/>
      <c r="AE35" s="30"/>
      <c r="AF35" s="30">
        <v>80</v>
      </c>
      <c r="AG35" s="30">
        <v>20</v>
      </c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>
        <v>80</v>
      </c>
      <c r="AS35" s="30">
        <v>20</v>
      </c>
      <c r="AT35" s="30"/>
      <c r="AU35" s="30"/>
      <c r="AV35" s="30"/>
      <c r="AW35" s="30"/>
      <c r="AX35" s="30"/>
    </row>
    <row r="36" ht="25.5" customHeight="1">
      <c r="A36" s="16"/>
      <c r="B36" t="s" s="17">
        <v>25</v>
      </c>
      <c r="C36" t="s" s="31">
        <v>26</v>
      </c>
      <c r="D36" t="s" s="32">
        <v>27</v>
      </c>
      <c r="E36" t="s" s="33">
        <v>56</v>
      </c>
      <c r="F36" t="s" s="21">
        <v>50</v>
      </c>
      <c r="G36" t="s" s="22">
        <v>46</v>
      </c>
      <c r="H36" s="23">
        <v>2035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  <c r="U36" s="26">
        <f>SUM(H36:T36)</f>
        <v>2035</v>
      </c>
      <c r="V36" s="27">
        <v>22</v>
      </c>
      <c r="W36" s="28">
        <v>5</v>
      </c>
      <c r="X36" s="29">
        <f>SUM(V36,W36)</f>
        <v>27</v>
      </c>
      <c r="Y36" s="27">
        <f>X36*U36</f>
        <v>54945</v>
      </c>
      <c r="Z36" s="29">
        <f>Y36*100/$Y$237</f>
        <v>0.0374407371035493</v>
      </c>
      <c r="AA36" s="30"/>
      <c r="AB36" s="30"/>
      <c r="AC36" s="30"/>
      <c r="AD36" s="30"/>
      <c r="AE36" s="30"/>
      <c r="AF36" s="30">
        <v>80</v>
      </c>
      <c r="AG36" s="30">
        <v>20</v>
      </c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>
        <v>80</v>
      </c>
      <c r="AS36" s="30">
        <v>20</v>
      </c>
      <c r="AT36" s="30"/>
      <c r="AU36" s="30"/>
      <c r="AV36" s="30"/>
      <c r="AW36" s="30"/>
      <c r="AX36" s="30"/>
    </row>
    <row r="37" ht="25.5" customHeight="1">
      <c r="A37" s="16"/>
      <c r="B37" t="s" s="17">
        <v>25</v>
      </c>
      <c r="C37" t="s" s="31">
        <v>26</v>
      </c>
      <c r="D37" t="s" s="32">
        <v>27</v>
      </c>
      <c r="E37" t="s" s="33">
        <v>56</v>
      </c>
      <c r="F37" t="s" s="21">
        <v>51</v>
      </c>
      <c r="G37" t="s" s="22">
        <v>46</v>
      </c>
      <c r="H37" s="23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  <c r="U37" s="26">
        <f>SUM(H37:T37)</f>
        <v>0</v>
      </c>
      <c r="V37" s="27">
        <v>22.5</v>
      </c>
      <c r="W37" s="28">
        <v>4.5</v>
      </c>
      <c r="X37" s="29">
        <f>SUM(V37,W37)</f>
        <v>27</v>
      </c>
      <c r="Y37" s="27">
        <f>X37*U37</f>
        <v>0</v>
      </c>
      <c r="Z37" s="29">
        <f>Y37*100/$Y$237</f>
        <v>0</v>
      </c>
      <c r="AA37" s="30"/>
      <c r="AB37" s="30"/>
      <c r="AC37" s="30"/>
      <c r="AD37" s="30"/>
      <c r="AE37" s="30"/>
      <c r="AF37" s="30">
        <v>80</v>
      </c>
      <c r="AG37" s="30">
        <v>20</v>
      </c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>
        <v>80</v>
      </c>
      <c r="AS37" s="30">
        <v>20</v>
      </c>
      <c r="AT37" s="30"/>
      <c r="AU37" s="30"/>
      <c r="AV37" s="30"/>
      <c r="AW37" s="30"/>
      <c r="AX37" s="30"/>
    </row>
    <row r="38" ht="25.5" customHeight="1">
      <c r="A38" s="16"/>
      <c r="B38" t="s" s="17">
        <v>25</v>
      </c>
      <c r="C38" t="s" s="31">
        <v>26</v>
      </c>
      <c r="D38" t="s" s="32">
        <v>27</v>
      </c>
      <c r="E38" t="s" s="33">
        <v>56</v>
      </c>
      <c r="F38" t="s" s="21">
        <v>52</v>
      </c>
      <c r="G38" t="s" s="22">
        <v>46</v>
      </c>
      <c r="H38" s="23">
        <v>99696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  <c r="U38" s="26">
        <f>SUM(H38:T38)</f>
        <v>99696</v>
      </c>
      <c r="V38" s="27">
        <v>22.5</v>
      </c>
      <c r="W38" s="28">
        <v>4.5</v>
      </c>
      <c r="X38" s="29">
        <f>SUM(V38,W38)</f>
        <v>27</v>
      </c>
      <c r="Y38" s="27">
        <f>X38*U38</f>
        <v>2691792</v>
      </c>
      <c r="Z38" s="29">
        <f>Y38*100/$Y$237</f>
        <v>1.83424654853831</v>
      </c>
      <c r="AA38" s="30"/>
      <c r="AB38" s="30"/>
      <c r="AC38" s="30"/>
      <c r="AD38" s="30"/>
      <c r="AE38" s="30"/>
      <c r="AF38" s="30">
        <v>80</v>
      </c>
      <c r="AG38" s="30">
        <v>20</v>
      </c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>
        <v>80</v>
      </c>
      <c r="AS38" s="30">
        <v>20</v>
      </c>
      <c r="AT38" s="30"/>
      <c r="AU38" s="30"/>
      <c r="AV38" s="30"/>
      <c r="AW38" s="30"/>
      <c r="AX38" s="30"/>
    </row>
    <row r="39" ht="25.5" customHeight="1">
      <c r="A39" s="16"/>
      <c r="B39" t="s" s="17">
        <v>25</v>
      </c>
      <c r="C39" t="s" s="31">
        <v>26</v>
      </c>
      <c r="D39" t="s" s="32">
        <v>27</v>
      </c>
      <c r="E39" t="s" s="33">
        <v>56</v>
      </c>
      <c r="F39" t="s" s="21">
        <v>53</v>
      </c>
      <c r="G39" t="s" s="22">
        <v>46</v>
      </c>
      <c r="H39" s="23">
        <v>35411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  <c r="U39" s="26">
        <f>SUM(H39:T39)</f>
        <v>35411</v>
      </c>
      <c r="V39" s="27">
        <v>22.5</v>
      </c>
      <c r="W39" s="28">
        <v>4.5</v>
      </c>
      <c r="X39" s="29">
        <f>SUM(V39,W39)</f>
        <v>27</v>
      </c>
      <c r="Y39" s="27">
        <f>X39*U39</f>
        <v>956097</v>
      </c>
      <c r="Z39" s="29">
        <f>Y39*100/$Y$237</f>
        <v>0.651505622394981</v>
      </c>
      <c r="AA39" s="30"/>
      <c r="AB39" s="30"/>
      <c r="AC39" s="30"/>
      <c r="AD39" s="30"/>
      <c r="AE39" s="30"/>
      <c r="AF39" s="30">
        <v>80</v>
      </c>
      <c r="AG39" s="30">
        <v>20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>
        <v>80</v>
      </c>
      <c r="AS39" s="30">
        <v>20</v>
      </c>
      <c r="AT39" s="30"/>
      <c r="AU39" s="30"/>
      <c r="AV39" s="30"/>
      <c r="AW39" s="30"/>
      <c r="AX39" s="30"/>
    </row>
    <row r="40" ht="25.5" customHeight="1">
      <c r="A40" s="16"/>
      <c r="B40" t="s" s="17">
        <v>25</v>
      </c>
      <c r="C40" t="s" s="31">
        <v>26</v>
      </c>
      <c r="D40" t="s" s="32">
        <v>27</v>
      </c>
      <c r="E40" t="s" s="33">
        <v>56</v>
      </c>
      <c r="F40" t="s" s="21">
        <v>54</v>
      </c>
      <c r="G40" t="s" s="22">
        <v>46</v>
      </c>
      <c r="H40" s="23">
        <v>0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  <c r="U40" s="26">
        <f>SUM(H40:T40)</f>
        <v>0</v>
      </c>
      <c r="V40" s="27">
        <v>22.5</v>
      </c>
      <c r="W40" s="28">
        <v>4.5</v>
      </c>
      <c r="X40" s="29">
        <f>SUM(V40,W40)</f>
        <v>27</v>
      </c>
      <c r="Y40" s="27">
        <f>X40*U40</f>
        <v>0</v>
      </c>
      <c r="Z40" s="29">
        <f>Y40*100/$Y$237</f>
        <v>0</v>
      </c>
      <c r="AA40" s="30"/>
      <c r="AB40" s="30"/>
      <c r="AC40" s="30"/>
      <c r="AD40" s="30"/>
      <c r="AE40" s="30"/>
      <c r="AF40" s="30">
        <v>80</v>
      </c>
      <c r="AG40" s="30">
        <v>20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>
        <v>80</v>
      </c>
      <c r="AS40" s="30">
        <v>20</v>
      </c>
      <c r="AT40" s="30"/>
      <c r="AU40" s="30"/>
      <c r="AV40" s="30"/>
      <c r="AW40" s="30"/>
      <c r="AX40" s="30"/>
    </row>
    <row r="41" ht="25.5" customHeight="1">
      <c r="A41" s="16"/>
      <c r="B41" t="s" s="17">
        <v>25</v>
      </c>
      <c r="C41" t="s" s="31">
        <v>26</v>
      </c>
      <c r="D41" t="s" s="32">
        <v>27</v>
      </c>
      <c r="E41" t="s" s="33">
        <v>56</v>
      </c>
      <c r="F41" t="s" s="21">
        <v>55</v>
      </c>
      <c r="G41" t="s" s="22">
        <v>46</v>
      </c>
      <c r="H41" s="23">
        <v>0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5"/>
      <c r="U41" s="26">
        <f>SUM(H41:T41)</f>
        <v>0</v>
      </c>
      <c r="V41" s="27">
        <v>24</v>
      </c>
      <c r="W41" s="28">
        <v>5.5</v>
      </c>
      <c r="X41" s="29">
        <f>SUM(V41,W41)</f>
        <v>29.5</v>
      </c>
      <c r="Y41" s="27">
        <f>X41*U41</f>
        <v>0</v>
      </c>
      <c r="Z41" s="29">
        <f>Y41*100/$Y$237</f>
        <v>0</v>
      </c>
      <c r="AA41" s="30"/>
      <c r="AB41" s="30"/>
      <c r="AC41" s="30"/>
      <c r="AD41" s="30"/>
      <c r="AE41" s="30"/>
      <c r="AF41" s="30">
        <v>80</v>
      </c>
      <c r="AG41" s="30">
        <v>20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>
        <v>80</v>
      </c>
      <c r="AS41" s="30">
        <v>20</v>
      </c>
      <c r="AT41" s="30"/>
      <c r="AU41" s="30"/>
      <c r="AV41" s="30"/>
      <c r="AW41" s="30"/>
      <c r="AX41" s="30"/>
    </row>
    <row r="42" ht="25.5" customHeight="1">
      <c r="A42" s="16"/>
      <c r="B42" t="s" s="17">
        <v>25</v>
      </c>
      <c r="C42" t="s" s="31">
        <v>26</v>
      </c>
      <c r="D42" t="s" s="32">
        <v>27</v>
      </c>
      <c r="E42" t="s" s="33">
        <v>56</v>
      </c>
      <c r="F42" t="s" s="21">
        <v>60</v>
      </c>
      <c r="G42" t="s" s="22">
        <v>40</v>
      </c>
      <c r="H42" s="23">
        <v>0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5"/>
      <c r="U42" s="26">
        <f>SUM(H42:T42)</f>
        <v>0</v>
      </c>
      <c r="V42" s="27">
        <v>0</v>
      </c>
      <c r="W42" s="28">
        <v>0</v>
      </c>
      <c r="X42" s="29">
        <f>SUM(V42,W42)</f>
        <v>0</v>
      </c>
      <c r="Y42" s="27">
        <f>X42*U42</f>
        <v>0</v>
      </c>
      <c r="Z42" s="29">
        <f>Y42*100/$Y$237</f>
        <v>0</v>
      </c>
      <c r="AA42" s="30"/>
      <c r="AB42" s="30"/>
      <c r="AC42" s="30"/>
      <c r="AD42" s="30"/>
      <c r="AE42" s="30"/>
      <c r="AF42" s="30">
        <v>80</v>
      </c>
      <c r="AG42" s="30">
        <v>20</v>
      </c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>
        <v>80</v>
      </c>
      <c r="AS42" s="30">
        <v>20</v>
      </c>
      <c r="AT42" s="30"/>
      <c r="AU42" s="30"/>
      <c r="AV42" s="30"/>
      <c r="AW42" s="30"/>
      <c r="AX42" s="30"/>
    </row>
    <row r="43" ht="25.5" customHeight="1">
      <c r="A43" s="16"/>
      <c r="B43" t="s" s="17">
        <v>25</v>
      </c>
      <c r="C43" t="s" s="31">
        <v>26</v>
      </c>
      <c r="D43" t="s" s="32">
        <v>27</v>
      </c>
      <c r="E43" t="s" s="33">
        <v>61</v>
      </c>
      <c r="F43" t="s" s="21">
        <v>62</v>
      </c>
      <c r="G43" t="s" s="37">
        <v>63</v>
      </c>
      <c r="H43" s="23">
        <v>1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5"/>
      <c r="U43" s="26">
        <f>SUM(H43:T43)</f>
        <v>1</v>
      </c>
      <c r="V43" s="27">
        <v>14332500</v>
      </c>
      <c r="W43" s="28">
        <v>0</v>
      </c>
      <c r="X43" s="29">
        <f>SUM(V43,W43)</f>
        <v>14332500</v>
      </c>
      <c r="Y43" s="27">
        <f>X43*U43</f>
        <v>14332500</v>
      </c>
      <c r="Z43" s="29">
        <f>Y43*100/$Y$237</f>
        <v>9.766482201048699</v>
      </c>
      <c r="AA43" s="30"/>
      <c r="AB43" s="30">
        <v>45</v>
      </c>
      <c r="AC43" s="30">
        <v>45</v>
      </c>
      <c r="AD43" s="30"/>
      <c r="AE43" s="30"/>
      <c r="AF43" s="30"/>
      <c r="AG43" s="30"/>
      <c r="AH43" s="30"/>
      <c r="AI43" s="27">
        <v>10</v>
      </c>
      <c r="AJ43" s="29"/>
      <c r="AK43" s="30"/>
      <c r="AL43" s="30"/>
      <c r="AM43" s="30"/>
      <c r="AN43" s="30">
        <v>80</v>
      </c>
      <c r="AO43" s="30">
        <v>10</v>
      </c>
      <c r="AP43" s="30"/>
      <c r="AQ43" s="30"/>
      <c r="AR43" s="30"/>
      <c r="AS43" s="30">
        <v>10</v>
      </c>
      <c r="AT43" s="30"/>
      <c r="AU43" s="30"/>
      <c r="AV43" s="30"/>
      <c r="AW43" s="30"/>
      <c r="AX43" s="30"/>
    </row>
    <row r="44" ht="25.5" customHeight="1">
      <c r="A44" s="16"/>
      <c r="B44" t="s" s="17">
        <v>25</v>
      </c>
      <c r="C44" t="s" s="31">
        <v>26</v>
      </c>
      <c r="D44" t="s" s="32">
        <v>64</v>
      </c>
      <c r="E44" t="s" s="33">
        <v>65</v>
      </c>
      <c r="F44" t="s" s="21">
        <v>66</v>
      </c>
      <c r="G44" t="s" s="22">
        <v>36</v>
      </c>
      <c r="H44" s="23">
        <v>229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5"/>
      <c r="U44" s="26">
        <f>SUM(H44:T44)</f>
        <v>229</v>
      </c>
      <c r="V44" s="27">
        <v>2060</v>
      </c>
      <c r="W44" s="28">
        <v>265</v>
      </c>
      <c r="X44" s="29">
        <f>SUM(V44,W44)</f>
        <v>2325</v>
      </c>
      <c r="Y44" s="27">
        <f>X44*U44</f>
        <v>532425</v>
      </c>
      <c r="Z44" s="29">
        <f>Y44*100/$Y$237</f>
        <v>0.362806159839062</v>
      </c>
      <c r="AA44" s="30"/>
      <c r="AB44" s="30"/>
      <c r="AC44" s="30"/>
      <c r="AD44" s="30"/>
      <c r="AE44" s="30"/>
      <c r="AF44" s="30"/>
      <c r="AG44" s="30">
        <v>50</v>
      </c>
      <c r="AH44" s="30">
        <v>50</v>
      </c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>
        <v>80</v>
      </c>
      <c r="AT44" s="30">
        <v>20</v>
      </c>
      <c r="AU44" s="30"/>
      <c r="AV44" s="30"/>
      <c r="AW44" s="30"/>
      <c r="AX44" s="30"/>
    </row>
    <row r="45" ht="25.5" customHeight="1">
      <c r="A45" s="16"/>
      <c r="B45" t="s" s="17">
        <v>25</v>
      </c>
      <c r="C45" t="s" s="31">
        <v>26</v>
      </c>
      <c r="D45" t="s" s="32">
        <v>64</v>
      </c>
      <c r="E45" t="s" s="33">
        <v>65</v>
      </c>
      <c r="F45" t="s" s="21">
        <v>44</v>
      </c>
      <c r="G45" t="s" s="22">
        <v>40</v>
      </c>
      <c r="H45" s="23">
        <v>1418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5"/>
      <c r="U45" s="26">
        <f>SUM(H45:T45)</f>
        <v>1418</v>
      </c>
      <c r="V45" s="27">
        <v>210</v>
      </c>
      <c r="W45" s="28">
        <v>260</v>
      </c>
      <c r="X45" s="29">
        <f>SUM(V45,W45)</f>
        <v>470</v>
      </c>
      <c r="Y45" s="27">
        <f>X45*U45</f>
        <v>666460</v>
      </c>
      <c r="Z45" s="29">
        <f>Y45*100/$Y$237</f>
        <v>0.454140570571144</v>
      </c>
      <c r="AA45" s="30"/>
      <c r="AB45" s="30"/>
      <c r="AC45" s="30"/>
      <c r="AD45" s="30"/>
      <c r="AE45" s="30"/>
      <c r="AF45" s="30"/>
      <c r="AG45" s="30">
        <v>50</v>
      </c>
      <c r="AH45" s="30">
        <v>50</v>
      </c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>
        <v>80</v>
      </c>
      <c r="AT45" s="30">
        <v>20</v>
      </c>
      <c r="AU45" s="30"/>
      <c r="AV45" s="30"/>
      <c r="AW45" s="30"/>
      <c r="AX45" s="30"/>
    </row>
    <row r="46" ht="25.5" customHeight="1">
      <c r="A46" s="16"/>
      <c r="B46" t="s" s="17">
        <v>25</v>
      </c>
      <c r="C46" t="s" s="31">
        <v>26</v>
      </c>
      <c r="D46" t="s" s="32">
        <v>64</v>
      </c>
      <c r="E46" t="s" s="33">
        <v>65</v>
      </c>
      <c r="F46" t="s" s="21">
        <v>45</v>
      </c>
      <c r="G46" t="s" s="22">
        <v>67</v>
      </c>
      <c r="H46" s="23">
        <v>0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5"/>
      <c r="U46" s="26">
        <f>SUM(H46:T46)</f>
        <v>0</v>
      </c>
      <c r="V46" s="27">
        <v>24</v>
      </c>
      <c r="W46" s="28">
        <v>5.5</v>
      </c>
      <c r="X46" s="29">
        <f>SUM(V46,W46)</f>
        <v>29.5</v>
      </c>
      <c r="Y46" s="27">
        <f>X46*U46</f>
        <v>0</v>
      </c>
      <c r="Z46" s="29">
        <f>Y46*100/$Y$237</f>
        <v>0</v>
      </c>
      <c r="AA46" s="30"/>
      <c r="AB46" s="30"/>
      <c r="AC46" s="30"/>
      <c r="AD46" s="30"/>
      <c r="AE46" s="30"/>
      <c r="AF46" s="30"/>
      <c r="AG46" s="30">
        <v>50</v>
      </c>
      <c r="AH46" s="30">
        <v>50</v>
      </c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>
        <v>80</v>
      </c>
      <c r="AT46" s="30">
        <v>20</v>
      </c>
      <c r="AU46" s="30"/>
      <c r="AV46" s="30"/>
      <c r="AW46" s="30"/>
      <c r="AX46" s="30"/>
    </row>
    <row r="47" ht="25.5" customHeight="1">
      <c r="A47" s="16"/>
      <c r="B47" t="s" s="17">
        <v>25</v>
      </c>
      <c r="C47" t="s" s="31">
        <v>26</v>
      </c>
      <c r="D47" t="s" s="32">
        <v>64</v>
      </c>
      <c r="E47" t="s" s="33">
        <v>65</v>
      </c>
      <c r="F47" t="s" s="21">
        <v>47</v>
      </c>
      <c r="G47" t="s" s="22">
        <v>67</v>
      </c>
      <c r="H47" s="23">
        <v>1000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5"/>
      <c r="U47" s="26">
        <f>SUM(H47:T47)</f>
        <v>1000</v>
      </c>
      <c r="V47" s="27">
        <v>23</v>
      </c>
      <c r="W47" s="28">
        <v>5.5</v>
      </c>
      <c r="X47" s="29">
        <f>SUM(V47,W47)</f>
        <v>28.5</v>
      </c>
      <c r="Y47" s="27">
        <f>X47*U47</f>
        <v>28500</v>
      </c>
      <c r="Z47" s="29">
        <f>Y47*100/$Y$237</f>
        <v>0.0194205297561408</v>
      </c>
      <c r="AA47" s="30"/>
      <c r="AB47" s="30"/>
      <c r="AC47" s="30"/>
      <c r="AD47" s="30"/>
      <c r="AE47" s="30"/>
      <c r="AF47" s="30"/>
      <c r="AG47" s="30">
        <v>50</v>
      </c>
      <c r="AH47" s="30">
        <v>50</v>
      </c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>
        <v>80</v>
      </c>
      <c r="AT47" s="30">
        <v>20</v>
      </c>
      <c r="AU47" s="30"/>
      <c r="AV47" s="30"/>
      <c r="AW47" s="30"/>
      <c r="AX47" s="30"/>
    </row>
    <row r="48" ht="25.5" customHeight="1">
      <c r="A48" s="16"/>
      <c r="B48" t="s" s="17">
        <v>25</v>
      </c>
      <c r="C48" t="s" s="31">
        <v>26</v>
      </c>
      <c r="D48" t="s" s="32">
        <v>64</v>
      </c>
      <c r="E48" t="s" s="33">
        <v>65</v>
      </c>
      <c r="F48" t="s" s="21">
        <v>48</v>
      </c>
      <c r="G48" t="s" s="22">
        <v>67</v>
      </c>
      <c r="H48" s="23">
        <v>0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5"/>
      <c r="U48" s="26">
        <f>SUM(H48:T48)</f>
        <v>0</v>
      </c>
      <c r="V48" s="27">
        <v>23</v>
      </c>
      <c r="W48" s="28">
        <v>5.5</v>
      </c>
      <c r="X48" s="29">
        <f>SUM(V48,W48)</f>
        <v>28.5</v>
      </c>
      <c r="Y48" s="27">
        <f>X48*U48</f>
        <v>0</v>
      </c>
      <c r="Z48" s="29">
        <f>Y48*100/$Y$237</f>
        <v>0</v>
      </c>
      <c r="AA48" s="30"/>
      <c r="AB48" s="30"/>
      <c r="AC48" s="30"/>
      <c r="AD48" s="30"/>
      <c r="AE48" s="30"/>
      <c r="AF48" s="30"/>
      <c r="AG48" s="30">
        <v>50</v>
      </c>
      <c r="AH48" s="30">
        <v>50</v>
      </c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>
        <v>80</v>
      </c>
      <c r="AT48" s="30">
        <v>20</v>
      </c>
      <c r="AU48" s="30"/>
      <c r="AV48" s="30"/>
      <c r="AW48" s="30"/>
      <c r="AX48" s="30"/>
    </row>
    <row r="49" ht="25.5" customHeight="1">
      <c r="A49" s="16"/>
      <c r="B49" t="s" s="17">
        <v>25</v>
      </c>
      <c r="C49" t="s" s="31">
        <v>26</v>
      </c>
      <c r="D49" t="s" s="32">
        <v>64</v>
      </c>
      <c r="E49" t="s" s="33">
        <v>65</v>
      </c>
      <c r="F49" t="s" s="21">
        <v>49</v>
      </c>
      <c r="G49" t="s" s="22">
        <v>67</v>
      </c>
      <c r="H49" s="23">
        <v>8918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5"/>
      <c r="U49" s="26">
        <f>SUM(H49:T49)</f>
        <v>8918</v>
      </c>
      <c r="V49" s="27">
        <v>22.5</v>
      </c>
      <c r="W49" s="28">
        <v>5</v>
      </c>
      <c r="X49" s="29">
        <f>SUM(V49,W49)</f>
        <v>27.5</v>
      </c>
      <c r="Y49" s="27">
        <f>X49*U49</f>
        <v>245245</v>
      </c>
      <c r="Z49" s="29">
        <f>Y49*100/$Y$237</f>
        <v>0.167115362106833</v>
      </c>
      <c r="AA49" s="30"/>
      <c r="AB49" s="30"/>
      <c r="AC49" s="30"/>
      <c r="AD49" s="30"/>
      <c r="AE49" s="30"/>
      <c r="AF49" s="30"/>
      <c r="AG49" s="30">
        <v>50</v>
      </c>
      <c r="AH49" s="30">
        <v>50</v>
      </c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>
        <v>80</v>
      </c>
      <c r="AT49" s="30">
        <v>20</v>
      </c>
      <c r="AU49" s="30"/>
      <c r="AV49" s="30"/>
      <c r="AW49" s="30"/>
      <c r="AX49" s="30"/>
    </row>
    <row r="50" ht="25.5" customHeight="1">
      <c r="A50" s="16"/>
      <c r="B50" t="s" s="17">
        <v>25</v>
      </c>
      <c r="C50" t="s" s="31">
        <v>26</v>
      </c>
      <c r="D50" t="s" s="32">
        <v>64</v>
      </c>
      <c r="E50" t="s" s="33">
        <v>65</v>
      </c>
      <c r="F50" t="s" s="21">
        <v>50</v>
      </c>
      <c r="G50" t="s" s="22">
        <v>67</v>
      </c>
      <c r="H50" s="23">
        <v>21407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5"/>
      <c r="U50" s="26">
        <f>SUM(H50:T50)</f>
        <v>21407</v>
      </c>
      <c r="V50" s="27">
        <v>22</v>
      </c>
      <c r="W50" s="28">
        <v>5</v>
      </c>
      <c r="X50" s="29">
        <f>SUM(V50,W50)</f>
        <v>27</v>
      </c>
      <c r="Y50" s="27">
        <f>X50*U50</f>
        <v>577989</v>
      </c>
      <c r="Z50" s="29">
        <f>Y50*100/$Y$237</f>
        <v>0.393854476253406</v>
      </c>
      <c r="AA50" s="30"/>
      <c r="AB50" s="30"/>
      <c r="AC50" s="30"/>
      <c r="AD50" s="30"/>
      <c r="AE50" s="30"/>
      <c r="AF50" s="30"/>
      <c r="AG50" s="30">
        <v>50</v>
      </c>
      <c r="AH50" s="30">
        <v>50</v>
      </c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>
        <v>80</v>
      </c>
      <c r="AT50" s="30">
        <v>20</v>
      </c>
      <c r="AU50" s="30"/>
      <c r="AV50" s="30"/>
      <c r="AW50" s="30"/>
      <c r="AX50" s="30"/>
    </row>
    <row r="51" ht="25.5" customHeight="1">
      <c r="A51" s="16"/>
      <c r="B51" t="s" s="17">
        <v>25</v>
      </c>
      <c r="C51" t="s" s="31">
        <v>26</v>
      </c>
      <c r="D51" t="s" s="32">
        <v>64</v>
      </c>
      <c r="E51" t="s" s="33">
        <v>65</v>
      </c>
      <c r="F51" t="s" s="21">
        <v>51</v>
      </c>
      <c r="G51" t="s" s="22">
        <v>67</v>
      </c>
      <c r="H51" s="23">
        <v>3901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5"/>
      <c r="U51" s="26">
        <f>SUM(H51:T51)</f>
        <v>3901</v>
      </c>
      <c r="V51" s="27">
        <v>22.5</v>
      </c>
      <c r="W51" s="28">
        <v>4.5</v>
      </c>
      <c r="X51" s="29">
        <f>SUM(V51,W51)</f>
        <v>27</v>
      </c>
      <c r="Y51" s="27">
        <f>X51*U51</f>
        <v>105327</v>
      </c>
      <c r="Z51" s="29">
        <f>Y51*100/$Y$237</f>
        <v>0.071772145179826</v>
      </c>
      <c r="AA51" s="30"/>
      <c r="AB51" s="30"/>
      <c r="AC51" s="30"/>
      <c r="AD51" s="30"/>
      <c r="AE51" s="30"/>
      <c r="AF51" s="30"/>
      <c r="AG51" s="30">
        <v>50</v>
      </c>
      <c r="AH51" s="30">
        <v>50</v>
      </c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>
        <v>80</v>
      </c>
      <c r="AT51" s="30">
        <v>20</v>
      </c>
      <c r="AU51" s="30"/>
      <c r="AV51" s="30"/>
      <c r="AW51" s="30"/>
      <c r="AX51" s="30"/>
    </row>
    <row r="52" ht="25.5" customHeight="1">
      <c r="A52" s="16"/>
      <c r="B52" t="s" s="17">
        <v>25</v>
      </c>
      <c r="C52" t="s" s="31">
        <v>26</v>
      </c>
      <c r="D52" t="s" s="32">
        <v>64</v>
      </c>
      <c r="E52" t="s" s="33">
        <v>65</v>
      </c>
      <c r="F52" t="s" s="21">
        <v>52</v>
      </c>
      <c r="G52" t="s" s="22">
        <v>67</v>
      </c>
      <c r="H52" s="23">
        <v>19819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5"/>
      <c r="U52" s="26">
        <f>SUM(H52:T52)</f>
        <v>19819</v>
      </c>
      <c r="V52" s="27">
        <v>22.5</v>
      </c>
      <c r="W52" s="28">
        <v>4.5</v>
      </c>
      <c r="X52" s="29">
        <f>SUM(V52,W52)</f>
        <v>27</v>
      </c>
      <c r="Y52" s="27">
        <f>X52*U52</f>
        <v>535113</v>
      </c>
      <c r="Z52" s="29">
        <f>Y52*100/$Y$237</f>
        <v>0.36463782243501</v>
      </c>
      <c r="AA52" s="30"/>
      <c r="AB52" s="30"/>
      <c r="AC52" s="30"/>
      <c r="AD52" s="30"/>
      <c r="AE52" s="30"/>
      <c r="AF52" s="30"/>
      <c r="AG52" s="30">
        <v>50</v>
      </c>
      <c r="AH52" s="30">
        <v>50</v>
      </c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>
        <v>80</v>
      </c>
      <c r="AT52" s="30">
        <v>20</v>
      </c>
      <c r="AU52" s="30"/>
      <c r="AV52" s="30"/>
      <c r="AW52" s="30"/>
      <c r="AX52" s="30"/>
    </row>
    <row r="53" ht="25.5" customHeight="1">
      <c r="A53" s="16"/>
      <c r="B53" t="s" s="17">
        <v>25</v>
      </c>
      <c r="C53" t="s" s="31">
        <v>26</v>
      </c>
      <c r="D53" t="s" s="32">
        <v>64</v>
      </c>
      <c r="E53" t="s" s="33">
        <v>65</v>
      </c>
      <c r="F53" t="s" s="21">
        <v>53</v>
      </c>
      <c r="G53" t="s" s="22">
        <v>67</v>
      </c>
      <c r="H53" s="23">
        <v>945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5"/>
      <c r="U53" s="26">
        <f>SUM(H53:T53)</f>
        <v>945</v>
      </c>
      <c r="V53" s="27">
        <v>22.5</v>
      </c>
      <c r="W53" s="28">
        <v>4.5</v>
      </c>
      <c r="X53" s="29">
        <f>SUM(V53,W53)</f>
        <v>27</v>
      </c>
      <c r="Y53" s="27">
        <f>X53*U53</f>
        <v>25515</v>
      </c>
      <c r="Z53" s="29">
        <f>Y53*100/$Y$237</f>
        <v>0.0173864847974713</v>
      </c>
      <c r="AA53" s="30"/>
      <c r="AB53" s="30"/>
      <c r="AC53" s="30"/>
      <c r="AD53" s="30"/>
      <c r="AE53" s="30"/>
      <c r="AF53" s="30"/>
      <c r="AG53" s="30">
        <v>50</v>
      </c>
      <c r="AH53" s="30">
        <v>50</v>
      </c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>
        <v>80</v>
      </c>
      <c r="AT53" s="30">
        <v>20</v>
      </c>
      <c r="AU53" s="30"/>
      <c r="AV53" s="30"/>
      <c r="AW53" s="30"/>
      <c r="AX53" s="30"/>
    </row>
    <row r="54" ht="25.5" customHeight="1">
      <c r="A54" s="16"/>
      <c r="B54" t="s" s="17">
        <v>25</v>
      </c>
      <c r="C54" t="s" s="31">
        <v>26</v>
      </c>
      <c r="D54" t="s" s="32">
        <v>64</v>
      </c>
      <c r="E54" t="s" s="33">
        <v>65</v>
      </c>
      <c r="F54" t="s" s="21">
        <v>54</v>
      </c>
      <c r="G54" t="s" s="22">
        <v>67</v>
      </c>
      <c r="H54" s="23">
        <v>1115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5"/>
      <c r="U54" s="26">
        <f>SUM(H54:T54)</f>
        <v>1115</v>
      </c>
      <c r="V54" s="27">
        <v>22.5</v>
      </c>
      <c r="W54" s="28">
        <v>4.5</v>
      </c>
      <c r="X54" s="29">
        <f>SUM(V54,W54)</f>
        <v>27</v>
      </c>
      <c r="Y54" s="27">
        <f>X54*U54</f>
        <v>30105</v>
      </c>
      <c r="Z54" s="29">
        <f>Y54*100/$Y$237</f>
        <v>0.020514212221355</v>
      </c>
      <c r="AA54" s="30"/>
      <c r="AB54" s="30"/>
      <c r="AC54" s="30"/>
      <c r="AD54" s="30"/>
      <c r="AE54" s="30"/>
      <c r="AF54" s="30"/>
      <c r="AG54" s="30">
        <v>50</v>
      </c>
      <c r="AH54" s="30">
        <v>50</v>
      </c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>
        <v>80</v>
      </c>
      <c r="AT54" s="30">
        <v>20</v>
      </c>
      <c r="AU54" s="30"/>
      <c r="AV54" s="30"/>
      <c r="AW54" s="30"/>
      <c r="AX54" s="30"/>
    </row>
    <row r="55" ht="25.5" customHeight="1">
      <c r="A55" s="16"/>
      <c r="B55" t="s" s="17">
        <v>25</v>
      </c>
      <c r="C55" t="s" s="31">
        <v>26</v>
      </c>
      <c r="D55" t="s" s="32">
        <v>64</v>
      </c>
      <c r="E55" t="s" s="33">
        <v>68</v>
      </c>
      <c r="F55" t="s" s="38">
        <v>69</v>
      </c>
      <c r="G55" t="s" s="22">
        <v>40</v>
      </c>
      <c r="H55" s="23">
        <v>605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5"/>
      <c r="U55" s="26">
        <f>SUM(H55:T55)</f>
        <v>605</v>
      </c>
      <c r="V55" s="27">
        <v>225</v>
      </c>
      <c r="W55" s="28">
        <v>45</v>
      </c>
      <c r="X55" s="29">
        <f>SUM(V55,W55)</f>
        <v>270</v>
      </c>
      <c r="Y55" s="27">
        <f>X55*U55</f>
        <v>163350</v>
      </c>
      <c r="Z55" s="29">
        <f>Y55*100/$Y$237</f>
        <v>0.111310299497039</v>
      </c>
      <c r="AA55" s="30"/>
      <c r="AB55" s="30"/>
      <c r="AC55" s="30"/>
      <c r="AD55" s="30"/>
      <c r="AE55" s="30"/>
      <c r="AF55" s="30"/>
      <c r="AG55" s="30">
        <v>50</v>
      </c>
      <c r="AH55" s="30">
        <v>50</v>
      </c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>
        <v>80</v>
      </c>
      <c r="AT55" s="30">
        <v>20</v>
      </c>
      <c r="AU55" s="30"/>
      <c r="AV55" s="30"/>
      <c r="AW55" s="30"/>
      <c r="AX55" s="30"/>
    </row>
    <row r="56" ht="25.5" customHeight="1">
      <c r="A56" s="16"/>
      <c r="B56" t="s" s="17">
        <v>25</v>
      </c>
      <c r="C56" t="s" s="31">
        <v>26</v>
      </c>
      <c r="D56" t="s" s="32">
        <v>64</v>
      </c>
      <c r="E56" t="s" s="33">
        <v>68</v>
      </c>
      <c r="F56" t="s" s="38">
        <v>70</v>
      </c>
      <c r="G56" t="s" s="22">
        <v>40</v>
      </c>
      <c r="H56" s="23">
        <v>1130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5"/>
      <c r="U56" s="26">
        <f>SUM(H56:T56)</f>
        <v>1130</v>
      </c>
      <c r="V56" s="27">
        <v>0</v>
      </c>
      <c r="W56" s="28">
        <v>0</v>
      </c>
      <c r="X56" s="29">
        <f>SUM(V56,W56)</f>
        <v>0</v>
      </c>
      <c r="Y56" s="27">
        <f>X56*U56</f>
        <v>0</v>
      </c>
      <c r="Z56" s="29">
        <f>Y56*100/$Y$237</f>
        <v>0</v>
      </c>
      <c r="AA56" s="30"/>
      <c r="AB56" s="30"/>
      <c r="AC56" s="30"/>
      <c r="AD56" s="30"/>
      <c r="AE56" s="30"/>
      <c r="AF56" s="30"/>
      <c r="AG56" s="30">
        <v>50</v>
      </c>
      <c r="AH56" s="30">
        <v>50</v>
      </c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>
        <v>80</v>
      </c>
      <c r="AT56" s="30">
        <v>20</v>
      </c>
      <c r="AU56" s="30"/>
      <c r="AV56" s="30"/>
      <c r="AW56" s="30"/>
      <c r="AX56" s="30"/>
    </row>
    <row r="57" ht="25.5" customHeight="1">
      <c r="A57" s="16"/>
      <c r="B57" t="s" s="17">
        <v>25</v>
      </c>
      <c r="C57" t="s" s="31">
        <v>26</v>
      </c>
      <c r="D57" t="s" s="32">
        <v>64</v>
      </c>
      <c r="E57" t="s" s="33">
        <v>68</v>
      </c>
      <c r="F57" t="s" s="21">
        <v>71</v>
      </c>
      <c r="G57" t="s" s="22">
        <v>72</v>
      </c>
      <c r="H57" s="23">
        <v>208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5"/>
      <c r="U57" s="26">
        <f>SUM(H57:T57)</f>
        <v>208</v>
      </c>
      <c r="V57" s="27">
        <v>235</v>
      </c>
      <c r="W57" s="28">
        <v>145</v>
      </c>
      <c r="X57" s="29">
        <f>SUM(V57,W57)</f>
        <v>380</v>
      </c>
      <c r="Y57" s="27">
        <f>X57*U57</f>
        <v>79040</v>
      </c>
      <c r="Z57" s="29">
        <f>Y57*100/$Y$237</f>
        <v>0.0538596025236972</v>
      </c>
      <c r="AA57" s="30"/>
      <c r="AB57" s="30"/>
      <c r="AC57" s="30"/>
      <c r="AD57" s="30"/>
      <c r="AE57" s="30"/>
      <c r="AF57" s="30"/>
      <c r="AG57" s="30">
        <v>50</v>
      </c>
      <c r="AH57" s="30">
        <v>50</v>
      </c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>
        <v>80</v>
      </c>
      <c r="AT57" s="30">
        <v>20</v>
      </c>
      <c r="AU57" s="30"/>
      <c r="AV57" s="30"/>
      <c r="AW57" s="30"/>
      <c r="AX57" s="30"/>
    </row>
    <row r="58" ht="25.5" customHeight="1">
      <c r="A58" s="16"/>
      <c r="B58" t="s" s="17">
        <v>25</v>
      </c>
      <c r="C58" t="s" s="31">
        <v>26</v>
      </c>
      <c r="D58" t="s" s="32">
        <v>64</v>
      </c>
      <c r="E58" t="s" s="39">
        <v>73</v>
      </c>
      <c r="F58" t="s" s="40">
        <v>74</v>
      </c>
      <c r="G58" t="s" s="22">
        <v>40</v>
      </c>
      <c r="H58" s="23">
        <v>605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5"/>
      <c r="U58" s="26">
        <f>SUM(H58:T58)</f>
        <v>605</v>
      </c>
      <c r="V58" s="27">
        <v>140</v>
      </c>
      <c r="W58" s="28">
        <v>190</v>
      </c>
      <c r="X58" s="29">
        <f>SUM(V58,W58)</f>
        <v>330</v>
      </c>
      <c r="Y58" s="27">
        <f>X58*U58</f>
        <v>199650</v>
      </c>
      <c r="Z58" s="29">
        <f>Y58*100/$Y$237</f>
        <v>0.136045921607492</v>
      </c>
      <c r="AA58" s="30"/>
      <c r="AB58" s="30"/>
      <c r="AC58" s="30"/>
      <c r="AD58" s="30"/>
      <c r="AE58" s="30"/>
      <c r="AF58" s="30"/>
      <c r="AG58" s="30">
        <v>50</v>
      </c>
      <c r="AH58" s="30">
        <v>50</v>
      </c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>
        <v>80</v>
      </c>
      <c r="AT58" s="30">
        <v>20</v>
      </c>
      <c r="AU58" s="30"/>
      <c r="AV58" s="30"/>
      <c r="AW58" s="30"/>
      <c r="AX58" s="30"/>
    </row>
    <row r="59" ht="25.5" customHeight="1">
      <c r="A59" s="16"/>
      <c r="B59" t="s" s="17">
        <v>25</v>
      </c>
      <c r="C59" t="s" s="31">
        <v>26</v>
      </c>
      <c r="D59" t="s" s="32">
        <v>75</v>
      </c>
      <c r="E59" t="s" s="33">
        <v>76</v>
      </c>
      <c r="F59" t="s" s="21">
        <v>77</v>
      </c>
      <c r="G59" t="s" s="22">
        <v>36</v>
      </c>
      <c r="H59" s="23">
        <v>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5"/>
      <c r="U59" s="26">
        <f>SUM(H59:T59)</f>
        <v>0</v>
      </c>
      <c r="V59" s="27">
        <v>0</v>
      </c>
      <c r="W59" s="28">
        <v>110</v>
      </c>
      <c r="X59" s="29">
        <f>SUM(V59,W59)</f>
        <v>110</v>
      </c>
      <c r="Y59" s="27">
        <f>X59*U59</f>
        <v>0</v>
      </c>
      <c r="Z59" s="29">
        <f>Y59*100/$Y$237</f>
        <v>0</v>
      </c>
      <c r="AA59" s="30"/>
      <c r="AB59" s="30"/>
      <c r="AC59" s="30"/>
      <c r="AD59" s="30"/>
      <c r="AE59" s="30"/>
      <c r="AF59" s="30">
        <v>40</v>
      </c>
      <c r="AG59" s="30">
        <v>40</v>
      </c>
      <c r="AH59" s="30">
        <v>20</v>
      </c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>
        <v>30</v>
      </c>
      <c r="AT59" s="30">
        <v>80</v>
      </c>
      <c r="AU59" s="30"/>
      <c r="AV59" s="30"/>
      <c r="AW59" s="30"/>
      <c r="AX59" s="30"/>
    </row>
    <row r="60" ht="25.5" customHeight="1">
      <c r="A60" s="16"/>
      <c r="B60" t="s" s="17">
        <v>25</v>
      </c>
      <c r="C60" t="s" s="31">
        <v>26</v>
      </c>
      <c r="D60" t="s" s="32">
        <v>75</v>
      </c>
      <c r="E60" t="s" s="33">
        <v>76</v>
      </c>
      <c r="F60" t="s" s="21">
        <v>37</v>
      </c>
      <c r="G60" t="s" s="22">
        <v>36</v>
      </c>
      <c r="H60" s="23">
        <v>0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5"/>
      <c r="U60" s="26">
        <f>SUM(H60:T60)</f>
        <v>0</v>
      </c>
      <c r="V60" s="27">
        <v>0</v>
      </c>
      <c r="W60" s="28">
        <v>70</v>
      </c>
      <c r="X60" s="29">
        <f>SUM(V60,W60)</f>
        <v>70</v>
      </c>
      <c r="Y60" s="27">
        <f>X60*U60</f>
        <v>0</v>
      </c>
      <c r="Z60" s="29">
        <f>Y60*100/$Y$237</f>
        <v>0</v>
      </c>
      <c r="AA60" s="30"/>
      <c r="AB60" s="30"/>
      <c r="AC60" s="30"/>
      <c r="AD60" s="30"/>
      <c r="AE60" s="30"/>
      <c r="AF60" s="30">
        <v>40</v>
      </c>
      <c r="AG60" s="30">
        <v>40</v>
      </c>
      <c r="AH60" s="30">
        <v>20</v>
      </c>
      <c r="AI60" s="30"/>
      <c r="AJ60" s="30"/>
      <c r="AK60" s="30"/>
      <c r="AL60" s="30"/>
      <c r="AM60" s="30"/>
      <c r="AN60" s="30"/>
      <c r="AO60" s="30"/>
      <c r="AP60" s="30"/>
      <c r="AQ60" s="30"/>
      <c r="AR60" s="30">
        <v>30</v>
      </c>
      <c r="AS60" s="30">
        <v>30</v>
      </c>
      <c r="AT60" s="30">
        <v>20</v>
      </c>
      <c r="AU60" s="30">
        <v>20</v>
      </c>
      <c r="AV60" s="30"/>
      <c r="AW60" s="30"/>
      <c r="AX60" s="30"/>
    </row>
    <row r="61" ht="25.5" customHeight="1">
      <c r="A61" s="16"/>
      <c r="B61" t="s" s="17">
        <v>25</v>
      </c>
      <c r="C61" t="s" s="31">
        <v>26</v>
      </c>
      <c r="D61" t="s" s="32">
        <v>75</v>
      </c>
      <c r="E61" t="s" s="33">
        <v>76</v>
      </c>
      <c r="F61" t="s" s="21">
        <v>38</v>
      </c>
      <c r="G61" t="s" s="22">
        <v>36</v>
      </c>
      <c r="H61" s="23">
        <v>0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5"/>
      <c r="U61" s="26">
        <f>SUM(H61:T61)</f>
        <v>0</v>
      </c>
      <c r="V61" s="27">
        <v>0</v>
      </c>
      <c r="W61" s="28">
        <v>110</v>
      </c>
      <c r="X61" s="29">
        <f>SUM(V61,W61)</f>
        <v>110</v>
      </c>
      <c r="Y61" s="27">
        <f>X61*U61</f>
        <v>0</v>
      </c>
      <c r="Z61" s="29">
        <f>Y61*100/$Y$237</f>
        <v>0</v>
      </c>
      <c r="AA61" s="30"/>
      <c r="AB61" s="30"/>
      <c r="AC61" s="30"/>
      <c r="AD61" s="30"/>
      <c r="AE61" s="30"/>
      <c r="AF61" s="30">
        <v>40</v>
      </c>
      <c r="AG61" s="30">
        <v>40</v>
      </c>
      <c r="AH61" s="30">
        <v>20</v>
      </c>
      <c r="AI61" s="30"/>
      <c r="AJ61" s="30"/>
      <c r="AK61" s="30"/>
      <c r="AL61" s="30"/>
      <c r="AM61" s="30"/>
      <c r="AN61" s="30"/>
      <c r="AO61" s="30"/>
      <c r="AP61" s="30"/>
      <c r="AQ61" s="30"/>
      <c r="AR61" s="30">
        <v>30</v>
      </c>
      <c r="AS61" s="30">
        <v>30</v>
      </c>
      <c r="AT61" s="30">
        <v>20</v>
      </c>
      <c r="AU61" s="30">
        <v>20</v>
      </c>
      <c r="AV61" s="30"/>
      <c r="AW61" s="30"/>
      <c r="AX61" s="30"/>
    </row>
    <row r="62" ht="25.5" customHeight="1">
      <c r="A62" s="16"/>
      <c r="B62" t="s" s="17">
        <v>25</v>
      </c>
      <c r="C62" t="s" s="31">
        <v>26</v>
      </c>
      <c r="D62" t="s" s="32">
        <v>75</v>
      </c>
      <c r="E62" t="s" s="33">
        <v>76</v>
      </c>
      <c r="F62" t="s" s="21">
        <v>78</v>
      </c>
      <c r="G62" t="s" s="22">
        <v>40</v>
      </c>
      <c r="H62" s="23">
        <v>0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5"/>
      <c r="U62" s="26">
        <f>SUM(H62:T62)</f>
        <v>0</v>
      </c>
      <c r="V62" s="27">
        <v>0</v>
      </c>
      <c r="W62" s="28">
        <v>35</v>
      </c>
      <c r="X62" s="29">
        <f>SUM(V62,W62)</f>
        <v>35</v>
      </c>
      <c r="Y62" s="27">
        <f>X62*U62</f>
        <v>0</v>
      </c>
      <c r="Z62" s="29">
        <f>Y62*100/$Y$237</f>
        <v>0</v>
      </c>
      <c r="AA62" s="30"/>
      <c r="AB62" s="30"/>
      <c r="AC62" s="30"/>
      <c r="AD62" s="30"/>
      <c r="AE62" s="30"/>
      <c r="AF62" s="30">
        <v>40</v>
      </c>
      <c r="AG62" s="30">
        <v>40</v>
      </c>
      <c r="AH62" s="30">
        <v>20</v>
      </c>
      <c r="AI62" s="30"/>
      <c r="AJ62" s="30"/>
      <c r="AK62" s="30"/>
      <c r="AL62" s="30"/>
      <c r="AM62" s="30"/>
      <c r="AN62" s="30"/>
      <c r="AO62" s="30"/>
      <c r="AP62" s="30"/>
      <c r="AQ62" s="30"/>
      <c r="AR62" s="30">
        <v>30</v>
      </c>
      <c r="AS62" s="30">
        <v>30</v>
      </c>
      <c r="AT62" s="30">
        <v>20</v>
      </c>
      <c r="AU62" s="30">
        <v>20</v>
      </c>
      <c r="AV62" s="30"/>
      <c r="AW62" s="30"/>
      <c r="AX62" s="30"/>
    </row>
    <row r="63" ht="25.5" customHeight="1">
      <c r="A63" s="16"/>
      <c r="B63" t="s" s="17">
        <v>25</v>
      </c>
      <c r="C63" t="s" s="31">
        <v>26</v>
      </c>
      <c r="D63" t="s" s="32">
        <v>75</v>
      </c>
      <c r="E63" t="s" s="33">
        <v>76</v>
      </c>
      <c r="F63" t="s" s="21">
        <v>79</v>
      </c>
      <c r="G63" t="s" s="22">
        <v>40</v>
      </c>
      <c r="H63" s="23">
        <v>2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5"/>
      <c r="U63" s="26">
        <f>SUM(H63:T63)</f>
        <v>2</v>
      </c>
      <c r="V63" s="27">
        <v>95</v>
      </c>
      <c r="W63" s="28">
        <v>15</v>
      </c>
      <c r="X63" s="29">
        <f>SUM(V63,W63)</f>
        <v>110</v>
      </c>
      <c r="Y63" s="27">
        <f>X63*U63</f>
        <v>220</v>
      </c>
      <c r="Z63" s="29">
        <f>Y63*100/$Y$237</f>
        <v>0.000149912861275473</v>
      </c>
      <c r="AA63" s="30"/>
      <c r="AB63" s="30"/>
      <c r="AC63" s="30"/>
      <c r="AD63" s="30"/>
      <c r="AE63" s="30"/>
      <c r="AF63" s="30">
        <v>40</v>
      </c>
      <c r="AG63" s="30">
        <v>40</v>
      </c>
      <c r="AH63" s="30">
        <v>20</v>
      </c>
      <c r="AI63" s="30"/>
      <c r="AJ63" s="30"/>
      <c r="AK63" s="30"/>
      <c r="AL63" s="30"/>
      <c r="AM63" s="30"/>
      <c r="AN63" s="30"/>
      <c r="AO63" s="30"/>
      <c r="AP63" s="30"/>
      <c r="AQ63" s="30"/>
      <c r="AR63" s="30">
        <v>30</v>
      </c>
      <c r="AS63" s="30">
        <v>30</v>
      </c>
      <c r="AT63" s="30">
        <v>20</v>
      </c>
      <c r="AU63" s="30">
        <v>20</v>
      </c>
      <c r="AV63" s="30"/>
      <c r="AW63" s="30"/>
      <c r="AX63" s="30"/>
    </row>
    <row r="64" ht="25.5" customHeight="1">
      <c r="A64" s="16"/>
      <c r="B64" t="s" s="17">
        <v>25</v>
      </c>
      <c r="C64" t="s" s="31">
        <v>26</v>
      </c>
      <c r="D64" t="s" s="32">
        <v>75</v>
      </c>
      <c r="E64" t="s" s="33">
        <v>76</v>
      </c>
      <c r="F64" t="s" s="21">
        <v>80</v>
      </c>
      <c r="G64" t="s" s="22">
        <v>40</v>
      </c>
      <c r="H64" s="23">
        <v>2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5"/>
      <c r="U64" s="26">
        <f>SUM(H64:T64)</f>
        <v>2</v>
      </c>
      <c r="V64" s="27">
        <v>165</v>
      </c>
      <c r="W64" s="28">
        <v>70</v>
      </c>
      <c r="X64" s="29">
        <f>SUM(V64,W64)</f>
        <v>235</v>
      </c>
      <c r="Y64" s="27">
        <f>X64*U64</f>
        <v>470</v>
      </c>
      <c r="Z64" s="29">
        <f>Y64*100/$Y$237</f>
        <v>0.000320268385452147</v>
      </c>
      <c r="AA64" s="30"/>
      <c r="AB64" s="30"/>
      <c r="AC64" s="30"/>
      <c r="AD64" s="30"/>
      <c r="AE64" s="30"/>
      <c r="AF64" s="30">
        <v>40</v>
      </c>
      <c r="AG64" s="30">
        <v>40</v>
      </c>
      <c r="AH64" s="30">
        <v>20</v>
      </c>
      <c r="AI64" s="30"/>
      <c r="AJ64" s="30"/>
      <c r="AK64" s="30"/>
      <c r="AL64" s="30"/>
      <c r="AM64" s="30"/>
      <c r="AN64" s="30"/>
      <c r="AO64" s="30"/>
      <c r="AP64" s="30"/>
      <c r="AQ64" s="30"/>
      <c r="AR64" s="30">
        <v>30</v>
      </c>
      <c r="AS64" s="30">
        <v>30</v>
      </c>
      <c r="AT64" s="30">
        <v>20</v>
      </c>
      <c r="AU64" s="30">
        <v>20</v>
      </c>
      <c r="AV64" s="30"/>
      <c r="AW64" s="30"/>
      <c r="AX64" s="30"/>
    </row>
    <row r="65" ht="25.5" customHeight="1">
      <c r="A65" s="16"/>
      <c r="B65" t="s" s="17">
        <v>25</v>
      </c>
      <c r="C65" t="s" s="31">
        <v>26</v>
      </c>
      <c r="D65" t="s" s="32">
        <v>75</v>
      </c>
      <c r="E65" t="s" s="33">
        <v>76</v>
      </c>
      <c r="F65" t="s" s="21">
        <v>81</v>
      </c>
      <c r="G65" t="s" s="22">
        <v>40</v>
      </c>
      <c r="H65" s="23">
        <v>0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5"/>
      <c r="U65" s="26">
        <f>SUM(H65:T65)</f>
        <v>0</v>
      </c>
      <c r="V65" s="27">
        <v>0</v>
      </c>
      <c r="W65" s="28">
        <v>0</v>
      </c>
      <c r="X65" s="29">
        <f>SUM(V65,W65)</f>
        <v>0</v>
      </c>
      <c r="Y65" s="27">
        <f>X65*U65</f>
        <v>0</v>
      </c>
      <c r="Z65" s="29">
        <f>Y65*100/$Y$237</f>
        <v>0</v>
      </c>
      <c r="AA65" s="30"/>
      <c r="AB65" s="30"/>
      <c r="AC65" s="30"/>
      <c r="AD65" s="30"/>
      <c r="AE65" s="30"/>
      <c r="AF65" s="30">
        <v>40</v>
      </c>
      <c r="AG65" s="30">
        <v>40</v>
      </c>
      <c r="AH65" s="30">
        <v>20</v>
      </c>
      <c r="AI65" s="30"/>
      <c r="AJ65" s="30"/>
      <c r="AK65" s="30"/>
      <c r="AL65" s="30"/>
      <c r="AM65" s="30"/>
      <c r="AN65" s="30"/>
      <c r="AO65" s="30"/>
      <c r="AP65" s="30"/>
      <c r="AQ65" s="30"/>
      <c r="AR65" s="30">
        <v>30</v>
      </c>
      <c r="AS65" s="30">
        <v>30</v>
      </c>
      <c r="AT65" s="30">
        <v>20</v>
      </c>
      <c r="AU65" s="30">
        <v>20</v>
      </c>
      <c r="AV65" s="30"/>
      <c r="AW65" s="30"/>
      <c r="AX65" s="30"/>
    </row>
    <row r="66" ht="25.5" customHeight="1">
      <c r="A66" s="16"/>
      <c r="B66" t="s" s="17">
        <v>25</v>
      </c>
      <c r="C66" t="s" s="31">
        <v>26</v>
      </c>
      <c r="D66" t="s" s="32">
        <v>75</v>
      </c>
      <c r="E66" t="s" s="33">
        <v>76</v>
      </c>
      <c r="F66" t="s" s="21">
        <v>43</v>
      </c>
      <c r="G66" t="s" s="22">
        <v>36</v>
      </c>
      <c r="H66" s="23">
        <f>22+120</f>
        <v>142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5"/>
      <c r="U66" s="26">
        <f>SUM(H66:T66)</f>
        <v>142</v>
      </c>
      <c r="V66" s="27">
        <v>1985</v>
      </c>
      <c r="W66" s="28">
        <v>265</v>
      </c>
      <c r="X66" s="29">
        <f>SUM(V66,W66)</f>
        <v>2250</v>
      </c>
      <c r="Y66" s="27">
        <f>X66*U66</f>
        <v>319500</v>
      </c>
      <c r="Z66" s="29">
        <f>Y66*100/$Y$237</f>
        <v>0.217714359897789</v>
      </c>
      <c r="AA66" s="30"/>
      <c r="AB66" s="30"/>
      <c r="AC66" s="30"/>
      <c r="AD66" s="30"/>
      <c r="AE66" s="30"/>
      <c r="AF66" s="30">
        <v>40</v>
      </c>
      <c r="AG66" s="30">
        <v>40</v>
      </c>
      <c r="AH66" s="30">
        <v>20</v>
      </c>
      <c r="AI66" s="30"/>
      <c r="AJ66" s="30"/>
      <c r="AK66" s="30"/>
      <c r="AL66" s="30"/>
      <c r="AM66" s="30"/>
      <c r="AN66" s="30"/>
      <c r="AO66" s="30"/>
      <c r="AP66" s="30"/>
      <c r="AQ66" s="30"/>
      <c r="AR66" s="30">
        <v>30</v>
      </c>
      <c r="AS66" s="30">
        <v>30</v>
      </c>
      <c r="AT66" s="30">
        <v>20</v>
      </c>
      <c r="AU66" s="30">
        <v>20</v>
      </c>
      <c r="AV66" s="30"/>
      <c r="AW66" s="30"/>
      <c r="AX66" s="30"/>
    </row>
    <row r="67" ht="25.5" customHeight="1">
      <c r="A67" s="16"/>
      <c r="B67" t="s" s="17">
        <v>25</v>
      </c>
      <c r="C67" t="s" s="31">
        <v>26</v>
      </c>
      <c r="D67" t="s" s="32">
        <v>75</v>
      </c>
      <c r="E67" t="s" s="33">
        <v>76</v>
      </c>
      <c r="F67" t="s" s="21">
        <v>44</v>
      </c>
      <c r="G67" t="s" s="22">
        <v>40</v>
      </c>
      <c r="H67" s="23">
        <f>112+425</f>
        <v>537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5"/>
      <c r="U67" s="26">
        <f>SUM(H67:T67)</f>
        <v>537</v>
      </c>
      <c r="V67" s="27">
        <v>195</v>
      </c>
      <c r="W67" s="28">
        <v>260</v>
      </c>
      <c r="X67" s="29">
        <f>SUM(V67,W67)</f>
        <v>455</v>
      </c>
      <c r="Y67" s="27">
        <f>X67*U67</f>
        <v>244335</v>
      </c>
      <c r="Z67" s="29">
        <f>Y67*100/$Y$237</f>
        <v>0.16649526799883</v>
      </c>
      <c r="AA67" s="30"/>
      <c r="AB67" s="30"/>
      <c r="AC67" s="30"/>
      <c r="AD67" s="30"/>
      <c r="AE67" s="30"/>
      <c r="AF67" s="30">
        <v>40</v>
      </c>
      <c r="AG67" s="30">
        <v>40</v>
      </c>
      <c r="AH67" s="30">
        <v>20</v>
      </c>
      <c r="AI67" s="30"/>
      <c r="AJ67" s="30"/>
      <c r="AK67" s="30"/>
      <c r="AL67" s="30"/>
      <c r="AM67" s="30"/>
      <c r="AN67" s="30"/>
      <c r="AO67" s="30"/>
      <c r="AP67" s="30"/>
      <c r="AQ67" s="30"/>
      <c r="AR67" s="30">
        <v>30</v>
      </c>
      <c r="AS67" s="30">
        <v>30</v>
      </c>
      <c r="AT67" s="30">
        <v>20</v>
      </c>
      <c r="AU67" s="30">
        <v>20</v>
      </c>
      <c r="AV67" s="30"/>
      <c r="AW67" s="30"/>
      <c r="AX67" s="30"/>
    </row>
    <row r="68" ht="25.5" customHeight="1">
      <c r="A68" s="16"/>
      <c r="B68" t="s" s="17">
        <v>25</v>
      </c>
      <c r="C68" t="s" s="31">
        <v>26</v>
      </c>
      <c r="D68" t="s" s="32">
        <v>75</v>
      </c>
      <c r="E68" t="s" s="33">
        <v>76</v>
      </c>
      <c r="F68" t="s" s="21">
        <v>45</v>
      </c>
      <c r="G68" t="s" s="22">
        <v>46</v>
      </c>
      <c r="H68" s="23">
        <f>0</f>
        <v>0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5"/>
      <c r="U68" s="26">
        <f>SUM(H68:T68)</f>
        <v>0</v>
      </c>
      <c r="V68" s="27">
        <v>24</v>
      </c>
      <c r="W68" s="28">
        <v>5.5</v>
      </c>
      <c r="X68" s="29">
        <f>SUM(V68,W68)</f>
        <v>29.5</v>
      </c>
      <c r="Y68" s="27">
        <f>X68*U68</f>
        <v>0</v>
      </c>
      <c r="Z68" s="29">
        <f>Y68*100/$Y$237</f>
        <v>0</v>
      </c>
      <c r="AA68" s="30"/>
      <c r="AB68" s="30"/>
      <c r="AC68" s="30"/>
      <c r="AD68" s="30"/>
      <c r="AE68" s="30"/>
      <c r="AF68" s="30">
        <v>40</v>
      </c>
      <c r="AG68" s="30">
        <v>40</v>
      </c>
      <c r="AH68" s="30">
        <v>20</v>
      </c>
      <c r="AI68" s="30"/>
      <c r="AJ68" s="30"/>
      <c r="AK68" s="30"/>
      <c r="AL68" s="30"/>
      <c r="AM68" s="30"/>
      <c r="AN68" s="30"/>
      <c r="AO68" s="30"/>
      <c r="AP68" s="30"/>
      <c r="AQ68" s="30"/>
      <c r="AR68" s="30">
        <v>30</v>
      </c>
      <c r="AS68" s="30">
        <v>30</v>
      </c>
      <c r="AT68" s="30">
        <v>20</v>
      </c>
      <c r="AU68" s="30">
        <v>20</v>
      </c>
      <c r="AV68" s="30"/>
      <c r="AW68" s="30"/>
      <c r="AX68" s="30"/>
    </row>
    <row r="69" ht="25.5" customHeight="1">
      <c r="A69" s="16"/>
      <c r="B69" t="s" s="17">
        <v>25</v>
      </c>
      <c r="C69" t="s" s="31">
        <v>26</v>
      </c>
      <c r="D69" t="s" s="32">
        <v>75</v>
      </c>
      <c r="E69" t="s" s="33">
        <v>76</v>
      </c>
      <c r="F69" t="s" s="21">
        <v>47</v>
      </c>
      <c r="G69" t="s" s="22">
        <v>46</v>
      </c>
      <c r="H69" s="23">
        <v>2183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5"/>
      <c r="U69" s="26">
        <f>SUM(H69:T69)</f>
        <v>2183</v>
      </c>
      <c r="V69" s="27">
        <v>23</v>
      </c>
      <c r="W69" s="28">
        <v>5.5</v>
      </c>
      <c r="X69" s="29">
        <f>SUM(V69,W69)</f>
        <v>28.5</v>
      </c>
      <c r="Y69" s="27">
        <f>X69*U69</f>
        <v>62215.5</v>
      </c>
      <c r="Z69" s="29">
        <f>Y69*100/$Y$237</f>
        <v>0.0423950164576554</v>
      </c>
      <c r="AA69" s="30"/>
      <c r="AB69" s="30"/>
      <c r="AC69" s="30"/>
      <c r="AD69" s="30"/>
      <c r="AE69" s="30"/>
      <c r="AF69" s="30">
        <v>40</v>
      </c>
      <c r="AG69" s="30">
        <v>40</v>
      </c>
      <c r="AH69" s="30">
        <v>20</v>
      </c>
      <c r="AI69" s="30"/>
      <c r="AJ69" s="30"/>
      <c r="AK69" s="30"/>
      <c r="AL69" s="30"/>
      <c r="AM69" s="30"/>
      <c r="AN69" s="30"/>
      <c r="AO69" s="30"/>
      <c r="AP69" s="30"/>
      <c r="AQ69" s="30"/>
      <c r="AR69" s="30">
        <v>30</v>
      </c>
      <c r="AS69" s="30">
        <v>30</v>
      </c>
      <c r="AT69" s="30">
        <v>20</v>
      </c>
      <c r="AU69" s="30">
        <v>20</v>
      </c>
      <c r="AV69" s="30"/>
      <c r="AW69" s="30"/>
      <c r="AX69" s="30"/>
    </row>
    <row r="70" ht="25.5" customHeight="1">
      <c r="A70" s="16"/>
      <c r="B70" t="s" s="17">
        <v>25</v>
      </c>
      <c r="C70" t="s" s="31">
        <v>26</v>
      </c>
      <c r="D70" t="s" s="32">
        <v>75</v>
      </c>
      <c r="E70" t="s" s="33">
        <v>76</v>
      </c>
      <c r="F70" t="s" s="21">
        <v>48</v>
      </c>
      <c r="G70" t="s" s="22">
        <v>46</v>
      </c>
      <c r="H70" s="23">
        <v>0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5"/>
      <c r="U70" s="26">
        <f>SUM(H70:T70)</f>
        <v>0</v>
      </c>
      <c r="V70" s="27">
        <v>23</v>
      </c>
      <c r="W70" s="28">
        <v>5.5</v>
      </c>
      <c r="X70" s="29">
        <f>SUM(V70,W70)</f>
        <v>28.5</v>
      </c>
      <c r="Y70" s="27">
        <f>X70*U70</f>
        <v>0</v>
      </c>
      <c r="Z70" s="29">
        <f>Y70*100/$Y$237</f>
        <v>0</v>
      </c>
      <c r="AA70" s="30"/>
      <c r="AB70" s="30"/>
      <c r="AC70" s="30"/>
      <c r="AD70" s="30"/>
      <c r="AE70" s="30"/>
      <c r="AF70" s="30">
        <v>40</v>
      </c>
      <c r="AG70" s="30">
        <v>40</v>
      </c>
      <c r="AH70" s="30">
        <v>20</v>
      </c>
      <c r="AI70" s="30"/>
      <c r="AJ70" s="30"/>
      <c r="AK70" s="30"/>
      <c r="AL70" s="30"/>
      <c r="AM70" s="30"/>
      <c r="AN70" s="30"/>
      <c r="AO70" s="30"/>
      <c r="AP70" s="30"/>
      <c r="AQ70" s="30"/>
      <c r="AR70" s="30">
        <v>30</v>
      </c>
      <c r="AS70" s="30">
        <v>30</v>
      </c>
      <c r="AT70" s="30">
        <v>20</v>
      </c>
      <c r="AU70" s="30">
        <v>20</v>
      </c>
      <c r="AV70" s="30"/>
      <c r="AW70" s="30"/>
      <c r="AX70" s="30"/>
    </row>
    <row r="71" ht="25.5" customHeight="1">
      <c r="A71" s="16"/>
      <c r="B71" t="s" s="17">
        <v>25</v>
      </c>
      <c r="C71" t="s" s="31">
        <v>26</v>
      </c>
      <c r="D71" t="s" s="32">
        <v>75</v>
      </c>
      <c r="E71" t="s" s="33">
        <v>76</v>
      </c>
      <c r="F71" t="s" s="21">
        <v>49</v>
      </c>
      <c r="G71" t="s" s="22">
        <v>46</v>
      </c>
      <c r="H71" s="23">
        <f>1231+4954</f>
        <v>6185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5"/>
      <c r="U71" s="26">
        <f>SUM(H71:T71)</f>
        <v>6185</v>
      </c>
      <c r="V71" s="27">
        <v>22.5</v>
      </c>
      <c r="W71" s="28">
        <v>5</v>
      </c>
      <c r="X71" s="29">
        <f>SUM(V71,W71)</f>
        <v>27.5</v>
      </c>
      <c r="Y71" s="27">
        <f>X71*U71</f>
        <v>170087.5</v>
      </c>
      <c r="Z71" s="29">
        <f>Y71*100/$Y$237</f>
        <v>0.1159013808736</v>
      </c>
      <c r="AA71" s="30"/>
      <c r="AB71" s="30"/>
      <c r="AC71" s="30"/>
      <c r="AD71" s="30"/>
      <c r="AE71" s="30"/>
      <c r="AF71" s="30">
        <v>40</v>
      </c>
      <c r="AG71" s="30">
        <v>40</v>
      </c>
      <c r="AH71" s="30">
        <v>20</v>
      </c>
      <c r="AI71" s="30"/>
      <c r="AJ71" s="30"/>
      <c r="AK71" s="30"/>
      <c r="AL71" s="30"/>
      <c r="AM71" s="30"/>
      <c r="AN71" s="30"/>
      <c r="AO71" s="30"/>
      <c r="AP71" s="30"/>
      <c r="AQ71" s="30"/>
      <c r="AR71" s="30">
        <v>30</v>
      </c>
      <c r="AS71" s="30">
        <v>30</v>
      </c>
      <c r="AT71" s="30">
        <v>20</v>
      </c>
      <c r="AU71" s="30">
        <v>20</v>
      </c>
      <c r="AV71" s="30"/>
      <c r="AW71" s="30"/>
      <c r="AX71" s="30"/>
    </row>
    <row r="72" ht="25.5" customHeight="1">
      <c r="A72" s="16"/>
      <c r="B72" t="s" s="17">
        <v>25</v>
      </c>
      <c r="C72" t="s" s="31">
        <v>26</v>
      </c>
      <c r="D72" t="s" s="32">
        <v>75</v>
      </c>
      <c r="E72" t="s" s="33">
        <v>76</v>
      </c>
      <c r="F72" t="s" s="21">
        <v>50</v>
      </c>
      <c r="G72" t="s" s="22">
        <v>46</v>
      </c>
      <c r="H72" s="23">
        <f>3781</f>
        <v>3781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5"/>
      <c r="U72" s="26">
        <f>SUM(H72:T72)</f>
        <v>3781</v>
      </c>
      <c r="V72" s="27">
        <v>22</v>
      </c>
      <c r="W72" s="28">
        <v>5</v>
      </c>
      <c r="X72" s="29">
        <f>SUM(V72,W72)</f>
        <v>27</v>
      </c>
      <c r="Y72" s="27">
        <f>X72*U72</f>
        <v>102087</v>
      </c>
      <c r="Z72" s="29">
        <f>Y72*100/$Y$237</f>
        <v>0.0695643375864964</v>
      </c>
      <c r="AA72" s="30"/>
      <c r="AB72" s="30"/>
      <c r="AC72" s="30"/>
      <c r="AD72" s="30"/>
      <c r="AE72" s="30"/>
      <c r="AF72" s="30">
        <v>40</v>
      </c>
      <c r="AG72" s="30">
        <v>40</v>
      </c>
      <c r="AH72" s="30">
        <v>20</v>
      </c>
      <c r="AI72" s="30"/>
      <c r="AJ72" s="30"/>
      <c r="AK72" s="30"/>
      <c r="AL72" s="30"/>
      <c r="AM72" s="30"/>
      <c r="AN72" s="30"/>
      <c r="AO72" s="30"/>
      <c r="AP72" s="30"/>
      <c r="AQ72" s="30"/>
      <c r="AR72" s="30">
        <v>30</v>
      </c>
      <c r="AS72" s="30">
        <v>30</v>
      </c>
      <c r="AT72" s="30">
        <v>20</v>
      </c>
      <c r="AU72" s="30">
        <v>20</v>
      </c>
      <c r="AV72" s="30"/>
      <c r="AW72" s="30"/>
      <c r="AX72" s="30"/>
    </row>
    <row r="73" ht="25.5" customHeight="1">
      <c r="A73" s="16"/>
      <c r="B73" t="s" s="17">
        <v>25</v>
      </c>
      <c r="C73" t="s" s="31">
        <v>26</v>
      </c>
      <c r="D73" t="s" s="32">
        <v>75</v>
      </c>
      <c r="E73" t="s" s="33">
        <v>76</v>
      </c>
      <c r="F73" t="s" s="21">
        <v>82</v>
      </c>
      <c r="G73" t="s" s="22">
        <v>46</v>
      </c>
      <c r="H73" s="23">
        <f>730+7175</f>
        <v>7905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5"/>
      <c r="U73" s="26">
        <f>SUM(H73:T73)</f>
        <v>7905</v>
      </c>
      <c r="V73" s="27">
        <v>22</v>
      </c>
      <c r="W73" s="28">
        <v>4.5</v>
      </c>
      <c r="X73" s="29">
        <f>SUM(V73,W73)</f>
        <v>26.5</v>
      </c>
      <c r="Y73" s="27">
        <f>X73*U73</f>
        <v>209482.5</v>
      </c>
      <c r="Z73" s="29">
        <f>Y73*100/$Y$237</f>
        <v>0.14274600437336</v>
      </c>
      <c r="AA73" s="30"/>
      <c r="AB73" s="30"/>
      <c r="AC73" s="30"/>
      <c r="AD73" s="30"/>
      <c r="AE73" s="30"/>
      <c r="AF73" s="30">
        <v>40</v>
      </c>
      <c r="AG73" s="30">
        <v>40</v>
      </c>
      <c r="AH73" s="30">
        <v>20</v>
      </c>
      <c r="AI73" s="30"/>
      <c r="AJ73" s="30"/>
      <c r="AK73" s="30"/>
      <c r="AL73" s="30"/>
      <c r="AM73" s="30"/>
      <c r="AN73" s="30"/>
      <c r="AO73" s="30"/>
      <c r="AP73" s="30"/>
      <c r="AQ73" s="30"/>
      <c r="AR73" s="30">
        <v>30</v>
      </c>
      <c r="AS73" s="30">
        <v>30</v>
      </c>
      <c r="AT73" s="30">
        <v>20</v>
      </c>
      <c r="AU73" s="30">
        <v>20</v>
      </c>
      <c r="AV73" s="30"/>
      <c r="AW73" s="30"/>
      <c r="AX73" s="30"/>
    </row>
    <row r="74" ht="25.5" customHeight="1">
      <c r="A74" s="16"/>
      <c r="B74" t="s" s="17">
        <v>25</v>
      </c>
      <c r="C74" t="s" s="31">
        <v>26</v>
      </c>
      <c r="D74" t="s" s="32">
        <v>75</v>
      </c>
      <c r="E74" t="s" s="33">
        <v>76</v>
      </c>
      <c r="F74" t="s" s="21">
        <v>83</v>
      </c>
      <c r="G74" t="s" s="22">
        <v>46</v>
      </c>
      <c r="H74" s="23">
        <f>1060+12357</f>
        <v>13417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5"/>
      <c r="U74" s="26">
        <f>SUM(H74:T74)</f>
        <v>13417</v>
      </c>
      <c r="V74" s="27">
        <v>22</v>
      </c>
      <c r="W74" s="28">
        <v>4.5</v>
      </c>
      <c r="X74" s="29">
        <f>SUM(V74,W74)</f>
        <v>26.5</v>
      </c>
      <c r="Y74" s="27">
        <f>X74*U74</f>
        <v>355550.5</v>
      </c>
      <c r="Z74" s="29">
        <f>Y74*100/$Y$237</f>
        <v>0.242279967195114</v>
      </c>
      <c r="AA74" s="30"/>
      <c r="AB74" s="30"/>
      <c r="AC74" s="30"/>
      <c r="AD74" s="30"/>
      <c r="AE74" s="30"/>
      <c r="AF74" s="30">
        <v>40</v>
      </c>
      <c r="AG74" s="30">
        <v>40</v>
      </c>
      <c r="AH74" s="30">
        <v>20</v>
      </c>
      <c r="AI74" s="30"/>
      <c r="AJ74" s="30"/>
      <c r="AK74" s="30"/>
      <c r="AL74" s="30"/>
      <c r="AM74" s="30"/>
      <c r="AN74" s="30"/>
      <c r="AO74" s="30"/>
      <c r="AP74" s="30"/>
      <c r="AQ74" s="30"/>
      <c r="AR74" s="30">
        <v>30</v>
      </c>
      <c r="AS74" s="30">
        <v>30</v>
      </c>
      <c r="AT74" s="30">
        <v>20</v>
      </c>
      <c r="AU74" s="30">
        <v>20</v>
      </c>
      <c r="AV74" s="30"/>
      <c r="AW74" s="30"/>
      <c r="AX74" s="30"/>
    </row>
    <row r="75" ht="25.5" customHeight="1">
      <c r="A75" s="16"/>
      <c r="B75" t="s" s="17">
        <v>25</v>
      </c>
      <c r="C75" t="s" s="31">
        <v>26</v>
      </c>
      <c r="D75" t="s" s="32">
        <v>75</v>
      </c>
      <c r="E75" t="s" s="33">
        <v>76</v>
      </c>
      <c r="F75" t="s" s="21">
        <v>84</v>
      </c>
      <c r="G75" t="s" s="22">
        <v>46</v>
      </c>
      <c r="H75" s="23">
        <f>26520</f>
        <v>26520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5"/>
      <c r="U75" s="26">
        <f>SUM(H75:T75)</f>
        <v>26520</v>
      </c>
      <c r="V75" s="27">
        <v>22</v>
      </c>
      <c r="W75" s="28">
        <v>4.5</v>
      </c>
      <c r="X75" s="29">
        <f>SUM(V75,W75)</f>
        <v>26.5</v>
      </c>
      <c r="Y75" s="27">
        <f>X75*U75</f>
        <v>702780</v>
      </c>
      <c r="Z75" s="29">
        <f>Y75*100/$Y$237</f>
        <v>0.478889821123531</v>
      </c>
      <c r="AA75" s="30"/>
      <c r="AB75" s="30"/>
      <c r="AC75" s="30"/>
      <c r="AD75" s="30"/>
      <c r="AE75" s="30"/>
      <c r="AF75" s="30">
        <v>40</v>
      </c>
      <c r="AG75" s="30">
        <v>40</v>
      </c>
      <c r="AH75" s="30">
        <v>20</v>
      </c>
      <c r="AI75" s="30"/>
      <c r="AJ75" s="30"/>
      <c r="AK75" s="30"/>
      <c r="AL75" s="30"/>
      <c r="AM75" s="30"/>
      <c r="AN75" s="30"/>
      <c r="AO75" s="30"/>
      <c r="AP75" s="30"/>
      <c r="AQ75" s="30"/>
      <c r="AR75" s="30">
        <v>30</v>
      </c>
      <c r="AS75" s="30">
        <v>30</v>
      </c>
      <c r="AT75" s="30">
        <v>20</v>
      </c>
      <c r="AU75" s="30">
        <v>20</v>
      </c>
      <c r="AV75" s="30"/>
      <c r="AW75" s="30"/>
      <c r="AX75" s="30"/>
    </row>
    <row r="76" ht="25.5" customHeight="1">
      <c r="A76" s="16"/>
      <c r="B76" t="s" s="17">
        <v>25</v>
      </c>
      <c r="C76" t="s" s="31">
        <v>26</v>
      </c>
      <c r="D76" t="s" s="32">
        <v>75</v>
      </c>
      <c r="E76" t="s" s="33">
        <v>76</v>
      </c>
      <c r="F76" t="s" s="21">
        <v>54</v>
      </c>
      <c r="G76" t="s" s="22">
        <v>46</v>
      </c>
      <c r="H76" s="23">
        <v>10259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5"/>
      <c r="U76" s="26">
        <f>SUM(H76:T76)</f>
        <v>10259</v>
      </c>
      <c r="V76" s="27">
        <v>22.5</v>
      </c>
      <c r="W76" s="28">
        <v>4.5</v>
      </c>
      <c r="X76" s="29">
        <f>SUM(V76,W76)</f>
        <v>27</v>
      </c>
      <c r="Y76" s="27">
        <f>X76*U76</f>
        <v>276993</v>
      </c>
      <c r="Z76" s="29">
        <f>Y76*100/$Y$237</f>
        <v>0.188749150833078</v>
      </c>
      <c r="AA76" s="30"/>
      <c r="AB76" s="30"/>
      <c r="AC76" s="30"/>
      <c r="AD76" s="30"/>
      <c r="AE76" s="30"/>
      <c r="AF76" s="30">
        <v>40</v>
      </c>
      <c r="AG76" s="30">
        <v>40</v>
      </c>
      <c r="AH76" s="30">
        <v>20</v>
      </c>
      <c r="AI76" s="30"/>
      <c r="AJ76" s="30"/>
      <c r="AK76" s="30"/>
      <c r="AL76" s="30"/>
      <c r="AM76" s="30"/>
      <c r="AN76" s="30"/>
      <c r="AO76" s="30"/>
      <c r="AP76" s="30"/>
      <c r="AQ76" s="30"/>
      <c r="AR76" s="30">
        <v>30</v>
      </c>
      <c r="AS76" s="30">
        <v>30</v>
      </c>
      <c r="AT76" s="30">
        <v>20</v>
      </c>
      <c r="AU76" s="30">
        <v>20</v>
      </c>
      <c r="AV76" s="30"/>
      <c r="AW76" s="30"/>
      <c r="AX76" s="30"/>
    </row>
    <row r="77" ht="25.5" customHeight="1">
      <c r="A77" s="16"/>
      <c r="B77" t="s" s="17">
        <v>25</v>
      </c>
      <c r="C77" t="s" s="31">
        <v>26</v>
      </c>
      <c r="D77" t="s" s="32">
        <v>85</v>
      </c>
      <c r="E77" t="s" s="33">
        <v>79</v>
      </c>
      <c r="F77" t="s" s="21">
        <v>35</v>
      </c>
      <c r="G77" t="s" s="22">
        <v>36</v>
      </c>
      <c r="H77" s="23">
        <v>0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5"/>
      <c r="U77" s="26">
        <f>SUM(H77:T77)</f>
        <v>0</v>
      </c>
      <c r="V77" s="27">
        <v>0</v>
      </c>
      <c r="W77" s="28">
        <v>110</v>
      </c>
      <c r="X77" s="29">
        <f>SUM(V77,W77)</f>
        <v>110</v>
      </c>
      <c r="Y77" s="27">
        <f>X77*U77</f>
        <v>0</v>
      </c>
      <c r="Z77" s="29">
        <f>Y77*100/$Y$237</f>
        <v>0</v>
      </c>
      <c r="AA77" s="30"/>
      <c r="AB77" s="30"/>
      <c r="AC77" s="30"/>
      <c r="AD77" s="30"/>
      <c r="AE77" s="30"/>
      <c r="AF77" s="30">
        <v>40</v>
      </c>
      <c r="AG77" s="30">
        <v>40</v>
      </c>
      <c r="AH77" s="30">
        <v>20</v>
      </c>
      <c r="AI77" s="30"/>
      <c r="AJ77" s="30"/>
      <c r="AK77" s="30"/>
      <c r="AL77" s="30"/>
      <c r="AM77" s="30"/>
      <c r="AN77" s="30"/>
      <c r="AO77" s="30"/>
      <c r="AP77" s="30"/>
      <c r="AQ77" s="30"/>
      <c r="AR77" s="30">
        <v>30</v>
      </c>
      <c r="AS77" s="30">
        <v>30</v>
      </c>
      <c r="AT77" s="30">
        <v>20</v>
      </c>
      <c r="AU77" s="30">
        <v>20</v>
      </c>
      <c r="AV77" s="30"/>
      <c r="AW77" s="30"/>
      <c r="AX77" s="30"/>
    </row>
    <row r="78" ht="25.5" customHeight="1">
      <c r="A78" s="16"/>
      <c r="B78" t="s" s="17">
        <v>25</v>
      </c>
      <c r="C78" t="s" s="31">
        <v>26</v>
      </c>
      <c r="D78" t="s" s="32">
        <v>85</v>
      </c>
      <c r="E78" t="s" s="33">
        <v>79</v>
      </c>
      <c r="F78" t="s" s="21">
        <v>37</v>
      </c>
      <c r="G78" t="s" s="22">
        <v>36</v>
      </c>
      <c r="H78" s="23">
        <v>0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5"/>
      <c r="U78" s="26">
        <f>SUM(H78:T78)</f>
        <v>0</v>
      </c>
      <c r="V78" s="27">
        <v>0</v>
      </c>
      <c r="W78" s="28">
        <v>70</v>
      </c>
      <c r="X78" s="29">
        <f>SUM(V78,W78)</f>
        <v>70</v>
      </c>
      <c r="Y78" s="27">
        <f>X78*U78</f>
        <v>0</v>
      </c>
      <c r="Z78" s="29">
        <f>Y78*100/$Y$237</f>
        <v>0</v>
      </c>
      <c r="AA78" s="30"/>
      <c r="AB78" s="30"/>
      <c r="AC78" s="30"/>
      <c r="AD78" s="30"/>
      <c r="AE78" s="30"/>
      <c r="AF78" s="30">
        <v>40</v>
      </c>
      <c r="AG78" s="30">
        <v>40</v>
      </c>
      <c r="AH78" s="30">
        <v>20</v>
      </c>
      <c r="AI78" s="30"/>
      <c r="AJ78" s="30"/>
      <c r="AK78" s="30"/>
      <c r="AL78" s="30"/>
      <c r="AM78" s="30"/>
      <c r="AN78" s="30"/>
      <c r="AO78" s="30"/>
      <c r="AP78" s="30"/>
      <c r="AQ78" s="30"/>
      <c r="AR78" s="30">
        <v>30</v>
      </c>
      <c r="AS78" s="30">
        <v>30</v>
      </c>
      <c r="AT78" s="30">
        <v>20</v>
      </c>
      <c r="AU78" s="30">
        <v>20</v>
      </c>
      <c r="AV78" s="30"/>
      <c r="AW78" s="30"/>
      <c r="AX78" s="30"/>
    </row>
    <row r="79" ht="25.5" customHeight="1">
      <c r="A79" s="16"/>
      <c r="B79" t="s" s="17">
        <v>25</v>
      </c>
      <c r="C79" t="s" s="31">
        <v>26</v>
      </c>
      <c r="D79" t="s" s="32">
        <v>85</v>
      </c>
      <c r="E79" t="s" s="33">
        <v>79</v>
      </c>
      <c r="F79" t="s" s="21">
        <v>38</v>
      </c>
      <c r="G79" t="s" s="22">
        <v>36</v>
      </c>
      <c r="H79" s="23">
        <v>0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5"/>
      <c r="U79" s="26">
        <f>SUM(H79:T79)</f>
        <v>0</v>
      </c>
      <c r="V79" s="27">
        <v>0</v>
      </c>
      <c r="W79" s="28">
        <v>110</v>
      </c>
      <c r="X79" s="29">
        <f>SUM(V79,W79)</f>
        <v>110</v>
      </c>
      <c r="Y79" s="27">
        <f>X79*U79</f>
        <v>0</v>
      </c>
      <c r="Z79" s="29">
        <f>Y79*100/$Y$237</f>
        <v>0</v>
      </c>
      <c r="AA79" s="30"/>
      <c r="AB79" s="30"/>
      <c r="AC79" s="30"/>
      <c r="AD79" s="30"/>
      <c r="AE79" s="30"/>
      <c r="AF79" s="30">
        <v>40</v>
      </c>
      <c r="AG79" s="30">
        <v>40</v>
      </c>
      <c r="AH79" s="30">
        <v>20</v>
      </c>
      <c r="AI79" s="30"/>
      <c r="AJ79" s="30"/>
      <c r="AK79" s="30"/>
      <c r="AL79" s="30"/>
      <c r="AM79" s="30"/>
      <c r="AN79" s="30"/>
      <c r="AO79" s="30"/>
      <c r="AP79" s="30"/>
      <c r="AQ79" s="30"/>
      <c r="AR79" s="30">
        <v>30</v>
      </c>
      <c r="AS79" s="30">
        <v>30</v>
      </c>
      <c r="AT79" s="30">
        <v>20</v>
      </c>
      <c r="AU79" s="30">
        <v>20</v>
      </c>
      <c r="AV79" s="30"/>
      <c r="AW79" s="30"/>
      <c r="AX79" s="30"/>
    </row>
    <row r="80" ht="25.5" customHeight="1">
      <c r="A80" s="16"/>
      <c r="B80" t="s" s="17">
        <v>25</v>
      </c>
      <c r="C80" t="s" s="31">
        <v>26</v>
      </c>
      <c r="D80" t="s" s="32">
        <v>85</v>
      </c>
      <c r="E80" t="s" s="33">
        <v>79</v>
      </c>
      <c r="F80" t="s" s="21">
        <v>39</v>
      </c>
      <c r="G80" t="s" s="22">
        <v>40</v>
      </c>
      <c r="H80" s="23">
        <v>0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5"/>
      <c r="U80" s="26">
        <f>SUM(H80:T80)</f>
        <v>0</v>
      </c>
      <c r="V80" s="27">
        <v>0</v>
      </c>
      <c r="W80" s="28">
        <v>35</v>
      </c>
      <c r="X80" s="29">
        <f>SUM(V80,W80)</f>
        <v>35</v>
      </c>
      <c r="Y80" s="27">
        <f>X80*U80</f>
        <v>0</v>
      </c>
      <c r="Z80" s="29">
        <f>Y80*100/$Y$237</f>
        <v>0</v>
      </c>
      <c r="AA80" s="30"/>
      <c r="AB80" s="30"/>
      <c r="AC80" s="30"/>
      <c r="AD80" s="30"/>
      <c r="AE80" s="30"/>
      <c r="AF80" s="30">
        <v>40</v>
      </c>
      <c r="AG80" s="30">
        <v>40</v>
      </c>
      <c r="AH80" s="30">
        <v>20</v>
      </c>
      <c r="AI80" s="30"/>
      <c r="AJ80" s="30"/>
      <c r="AK80" s="30"/>
      <c r="AL80" s="30"/>
      <c r="AM80" s="30"/>
      <c r="AN80" s="30"/>
      <c r="AO80" s="30"/>
      <c r="AP80" s="30"/>
      <c r="AQ80" s="30"/>
      <c r="AR80" s="30">
        <v>30</v>
      </c>
      <c r="AS80" s="30">
        <v>30</v>
      </c>
      <c r="AT80" s="30">
        <v>20</v>
      </c>
      <c r="AU80" s="30">
        <v>20</v>
      </c>
      <c r="AV80" s="30"/>
      <c r="AW80" s="30"/>
      <c r="AX80" s="30"/>
    </row>
    <row r="81" ht="25.5" customHeight="1">
      <c r="A81" s="16"/>
      <c r="B81" t="s" s="17">
        <v>25</v>
      </c>
      <c r="C81" t="s" s="31">
        <v>26</v>
      </c>
      <c r="D81" t="s" s="32">
        <v>85</v>
      </c>
      <c r="E81" t="s" s="33">
        <v>79</v>
      </c>
      <c r="F81" t="s" s="21">
        <v>79</v>
      </c>
      <c r="G81" t="s" s="22">
        <v>40</v>
      </c>
      <c r="H81" s="23">
        <v>25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5"/>
      <c r="U81" s="26">
        <f>SUM(H81:T81)</f>
        <v>25</v>
      </c>
      <c r="V81" s="27">
        <v>95</v>
      </c>
      <c r="W81" s="28">
        <v>15</v>
      </c>
      <c r="X81" s="29">
        <f>SUM(V81,W81)</f>
        <v>110</v>
      </c>
      <c r="Y81" s="27">
        <f>X81*U81</f>
        <v>2750</v>
      </c>
      <c r="Z81" s="29">
        <f>Y81*100/$Y$237</f>
        <v>0.00187391076594341</v>
      </c>
      <c r="AA81" s="30"/>
      <c r="AB81" s="30"/>
      <c r="AC81" s="30"/>
      <c r="AD81" s="30"/>
      <c r="AE81" s="30"/>
      <c r="AF81" s="30">
        <v>40</v>
      </c>
      <c r="AG81" s="30">
        <v>40</v>
      </c>
      <c r="AH81" s="30">
        <v>20</v>
      </c>
      <c r="AI81" s="30"/>
      <c r="AJ81" s="30"/>
      <c r="AK81" s="30"/>
      <c r="AL81" s="30"/>
      <c r="AM81" s="30"/>
      <c r="AN81" s="30"/>
      <c r="AO81" s="30"/>
      <c r="AP81" s="30"/>
      <c r="AQ81" s="30"/>
      <c r="AR81" s="30">
        <v>30</v>
      </c>
      <c r="AS81" s="30">
        <v>30</v>
      </c>
      <c r="AT81" s="30">
        <v>20</v>
      </c>
      <c r="AU81" s="30">
        <v>20</v>
      </c>
      <c r="AV81" s="30"/>
      <c r="AW81" s="30"/>
      <c r="AX81" s="30"/>
    </row>
    <row r="82" ht="25.5" customHeight="1">
      <c r="A82" s="16"/>
      <c r="B82" t="s" s="17">
        <v>25</v>
      </c>
      <c r="C82" t="s" s="31">
        <v>26</v>
      </c>
      <c r="D82" t="s" s="32">
        <v>85</v>
      </c>
      <c r="E82" t="s" s="33">
        <v>79</v>
      </c>
      <c r="F82" t="s" s="21">
        <v>80</v>
      </c>
      <c r="G82" t="s" s="22">
        <v>40</v>
      </c>
      <c r="H82" s="23">
        <v>25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5"/>
      <c r="U82" s="26">
        <f>SUM(H82:T82)</f>
        <v>25</v>
      </c>
      <c r="V82" s="27">
        <v>165</v>
      </c>
      <c r="W82" s="28">
        <v>70</v>
      </c>
      <c r="X82" s="29">
        <f>SUM(V82,W82)</f>
        <v>235</v>
      </c>
      <c r="Y82" s="27">
        <f>X82*U82</f>
        <v>5875</v>
      </c>
      <c r="Z82" s="29">
        <f>Y82*100/$Y$237</f>
        <v>0.00400335481815183</v>
      </c>
      <c r="AA82" s="30"/>
      <c r="AB82" s="30"/>
      <c r="AC82" s="30"/>
      <c r="AD82" s="30"/>
      <c r="AE82" s="30"/>
      <c r="AF82" s="30">
        <v>40</v>
      </c>
      <c r="AG82" s="30">
        <v>40</v>
      </c>
      <c r="AH82" s="30">
        <v>20</v>
      </c>
      <c r="AI82" s="30"/>
      <c r="AJ82" s="30"/>
      <c r="AK82" s="30"/>
      <c r="AL82" s="30"/>
      <c r="AM82" s="30"/>
      <c r="AN82" s="30"/>
      <c r="AO82" s="30"/>
      <c r="AP82" s="30"/>
      <c r="AQ82" s="30"/>
      <c r="AR82" s="30">
        <v>30</v>
      </c>
      <c r="AS82" s="30">
        <v>30</v>
      </c>
      <c r="AT82" s="30">
        <v>20</v>
      </c>
      <c r="AU82" s="30">
        <v>20</v>
      </c>
      <c r="AV82" s="30"/>
      <c r="AW82" s="30"/>
      <c r="AX82" s="30"/>
    </row>
    <row r="83" ht="25.5" customHeight="1">
      <c r="A83" s="16"/>
      <c r="B83" t="s" s="17">
        <v>25</v>
      </c>
      <c r="C83" t="s" s="31">
        <v>26</v>
      </c>
      <c r="D83" t="s" s="32">
        <v>85</v>
      </c>
      <c r="E83" t="s" s="33">
        <v>79</v>
      </c>
      <c r="F83" t="s" s="21">
        <v>44</v>
      </c>
      <c r="G83" t="s" s="22">
        <v>40</v>
      </c>
      <c r="H83" s="23">
        <v>534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5"/>
      <c r="U83" s="26">
        <f>SUM(H83:T83)</f>
        <v>534</v>
      </c>
      <c r="V83" s="27">
        <v>1575</v>
      </c>
      <c r="W83" s="28">
        <v>220</v>
      </c>
      <c r="X83" s="29">
        <f>SUM(V83,W83)</f>
        <v>1795</v>
      </c>
      <c r="Y83" s="27">
        <f>X83*U83</f>
        <v>958530</v>
      </c>
      <c r="Z83" s="29">
        <f>Y83*100/$Y$237</f>
        <v>0.653163522356268</v>
      </c>
      <c r="AA83" s="30"/>
      <c r="AB83" s="30"/>
      <c r="AC83" s="30"/>
      <c r="AD83" s="30"/>
      <c r="AE83" s="30"/>
      <c r="AF83" s="30">
        <v>40</v>
      </c>
      <c r="AG83" s="30">
        <v>40</v>
      </c>
      <c r="AH83" s="30">
        <v>20</v>
      </c>
      <c r="AI83" s="30"/>
      <c r="AJ83" s="30"/>
      <c r="AK83" s="30"/>
      <c r="AL83" s="30"/>
      <c r="AM83" s="30"/>
      <c r="AN83" s="30"/>
      <c r="AO83" s="30"/>
      <c r="AP83" s="30"/>
      <c r="AQ83" s="30"/>
      <c r="AR83" s="30">
        <v>30</v>
      </c>
      <c r="AS83" s="30">
        <v>30</v>
      </c>
      <c r="AT83" s="30">
        <v>20</v>
      </c>
      <c r="AU83" s="30">
        <v>20</v>
      </c>
      <c r="AV83" s="30"/>
      <c r="AW83" s="30"/>
      <c r="AX83" s="30"/>
    </row>
    <row r="84" ht="25.5" customHeight="1">
      <c r="A84" s="16"/>
      <c r="B84" t="s" s="17">
        <v>25</v>
      </c>
      <c r="C84" t="s" s="31">
        <v>26</v>
      </c>
      <c r="D84" t="s" s="32">
        <v>85</v>
      </c>
      <c r="E84" t="s" s="33">
        <v>79</v>
      </c>
      <c r="F84" t="s" s="21">
        <v>45</v>
      </c>
      <c r="G84" t="s" s="22">
        <v>67</v>
      </c>
      <c r="H84" s="23">
        <v>0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5"/>
      <c r="U84" s="26">
        <f>SUM(H84:T84)</f>
        <v>0</v>
      </c>
      <c r="V84" s="27">
        <v>24</v>
      </c>
      <c r="W84" s="28">
        <v>5.5</v>
      </c>
      <c r="X84" s="29">
        <f>SUM(V84,W84)</f>
        <v>29.5</v>
      </c>
      <c r="Y84" s="27">
        <f>X84*U84</f>
        <v>0</v>
      </c>
      <c r="Z84" s="29">
        <f>Y84*100/$Y$237</f>
        <v>0</v>
      </c>
      <c r="AA84" s="30"/>
      <c r="AB84" s="30"/>
      <c r="AC84" s="30"/>
      <c r="AD84" s="30"/>
      <c r="AE84" s="30"/>
      <c r="AF84" s="30">
        <v>40</v>
      </c>
      <c r="AG84" s="30">
        <v>40</v>
      </c>
      <c r="AH84" s="30">
        <v>20</v>
      </c>
      <c r="AI84" s="30"/>
      <c r="AJ84" s="30"/>
      <c r="AK84" s="30"/>
      <c r="AL84" s="30"/>
      <c r="AM84" s="30"/>
      <c r="AN84" s="30"/>
      <c r="AO84" s="30"/>
      <c r="AP84" s="30"/>
      <c r="AQ84" s="30"/>
      <c r="AR84" s="30">
        <v>30</v>
      </c>
      <c r="AS84" s="30">
        <v>30</v>
      </c>
      <c r="AT84" s="30">
        <v>20</v>
      </c>
      <c r="AU84" s="30">
        <v>20</v>
      </c>
      <c r="AV84" s="30"/>
      <c r="AW84" s="30"/>
      <c r="AX84" s="30"/>
    </row>
    <row r="85" ht="25.5" customHeight="1">
      <c r="A85" s="16"/>
      <c r="B85" t="s" s="17">
        <v>25</v>
      </c>
      <c r="C85" t="s" s="31">
        <v>26</v>
      </c>
      <c r="D85" t="s" s="32">
        <v>85</v>
      </c>
      <c r="E85" t="s" s="33">
        <v>79</v>
      </c>
      <c r="F85" t="s" s="21">
        <v>47</v>
      </c>
      <c r="G85" t="s" s="22">
        <v>67</v>
      </c>
      <c r="H85" s="23">
        <v>0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5"/>
      <c r="U85" s="26">
        <f>SUM(H85:T85)</f>
        <v>0</v>
      </c>
      <c r="V85" s="27">
        <v>23</v>
      </c>
      <c r="W85" s="28">
        <v>5.5</v>
      </c>
      <c r="X85" s="29">
        <f>SUM(V85,W85)</f>
        <v>28.5</v>
      </c>
      <c r="Y85" s="27">
        <f>X85*U85</f>
        <v>0</v>
      </c>
      <c r="Z85" s="29">
        <f>Y85*100/$Y$237</f>
        <v>0</v>
      </c>
      <c r="AA85" s="30"/>
      <c r="AB85" s="30"/>
      <c r="AC85" s="30"/>
      <c r="AD85" s="30"/>
      <c r="AE85" s="30"/>
      <c r="AF85" s="30">
        <v>40</v>
      </c>
      <c r="AG85" s="30">
        <v>40</v>
      </c>
      <c r="AH85" s="30">
        <v>20</v>
      </c>
      <c r="AI85" s="30"/>
      <c r="AJ85" s="30"/>
      <c r="AK85" s="30"/>
      <c r="AL85" s="30"/>
      <c r="AM85" s="30"/>
      <c r="AN85" s="30"/>
      <c r="AO85" s="30"/>
      <c r="AP85" s="30"/>
      <c r="AQ85" s="30"/>
      <c r="AR85" s="30">
        <v>30</v>
      </c>
      <c r="AS85" s="30">
        <v>30</v>
      </c>
      <c r="AT85" s="30">
        <v>20</v>
      </c>
      <c r="AU85" s="30">
        <v>20</v>
      </c>
      <c r="AV85" s="30"/>
      <c r="AW85" s="30"/>
      <c r="AX85" s="30"/>
    </row>
    <row r="86" ht="25.5" customHeight="1">
      <c r="A86" s="16"/>
      <c r="B86" t="s" s="17">
        <v>25</v>
      </c>
      <c r="C86" t="s" s="31">
        <v>26</v>
      </c>
      <c r="D86" t="s" s="32">
        <v>85</v>
      </c>
      <c r="E86" t="s" s="33">
        <v>79</v>
      </c>
      <c r="F86" t="s" s="21">
        <v>48</v>
      </c>
      <c r="G86" t="s" s="22">
        <v>67</v>
      </c>
      <c r="H86" s="23">
        <v>0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5"/>
      <c r="U86" s="26">
        <f>SUM(H86:T86)</f>
        <v>0</v>
      </c>
      <c r="V86" s="27">
        <v>23</v>
      </c>
      <c r="W86" s="28">
        <v>5.5</v>
      </c>
      <c r="X86" s="29">
        <f>SUM(V86,W86)</f>
        <v>28.5</v>
      </c>
      <c r="Y86" s="27">
        <f>X86*U86</f>
        <v>0</v>
      </c>
      <c r="Z86" s="29">
        <f>Y86*100/$Y$237</f>
        <v>0</v>
      </c>
      <c r="AA86" s="30"/>
      <c r="AB86" s="30"/>
      <c r="AC86" s="30"/>
      <c r="AD86" s="30"/>
      <c r="AE86" s="30"/>
      <c r="AF86" s="30">
        <v>40</v>
      </c>
      <c r="AG86" s="30">
        <v>40</v>
      </c>
      <c r="AH86" s="30">
        <v>20</v>
      </c>
      <c r="AI86" s="30"/>
      <c r="AJ86" s="30"/>
      <c r="AK86" s="30"/>
      <c r="AL86" s="30"/>
      <c r="AM86" s="30"/>
      <c r="AN86" s="30"/>
      <c r="AO86" s="30"/>
      <c r="AP86" s="30"/>
      <c r="AQ86" s="30"/>
      <c r="AR86" s="30">
        <v>30</v>
      </c>
      <c r="AS86" s="30">
        <v>30</v>
      </c>
      <c r="AT86" s="30">
        <v>20</v>
      </c>
      <c r="AU86" s="30">
        <v>20</v>
      </c>
      <c r="AV86" s="30"/>
      <c r="AW86" s="30"/>
      <c r="AX86" s="30"/>
    </row>
    <row r="87" ht="25.5" customHeight="1">
      <c r="A87" s="16"/>
      <c r="B87" t="s" s="17">
        <v>25</v>
      </c>
      <c r="C87" t="s" s="31">
        <v>26</v>
      </c>
      <c r="D87" t="s" s="32">
        <v>85</v>
      </c>
      <c r="E87" t="s" s="33">
        <v>79</v>
      </c>
      <c r="F87" t="s" s="21">
        <v>49</v>
      </c>
      <c r="G87" t="s" s="22">
        <v>67</v>
      </c>
      <c r="H87" s="23">
        <v>0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5"/>
      <c r="U87" s="26">
        <f>SUM(H87:T87)</f>
        <v>0</v>
      </c>
      <c r="V87" s="27">
        <v>22.5</v>
      </c>
      <c r="W87" s="28">
        <v>5</v>
      </c>
      <c r="X87" s="29">
        <f>SUM(V87,W87)</f>
        <v>27.5</v>
      </c>
      <c r="Y87" s="27">
        <f>X87*U87</f>
        <v>0</v>
      </c>
      <c r="Z87" s="29">
        <f>Y87*100/$Y$237</f>
        <v>0</v>
      </c>
      <c r="AA87" s="30"/>
      <c r="AB87" s="30"/>
      <c r="AC87" s="30"/>
      <c r="AD87" s="30"/>
      <c r="AE87" s="30"/>
      <c r="AF87" s="30">
        <v>40</v>
      </c>
      <c r="AG87" s="30">
        <v>40</v>
      </c>
      <c r="AH87" s="30">
        <v>20</v>
      </c>
      <c r="AI87" s="30"/>
      <c r="AJ87" s="30"/>
      <c r="AK87" s="30"/>
      <c r="AL87" s="30"/>
      <c r="AM87" s="30"/>
      <c r="AN87" s="30"/>
      <c r="AO87" s="30"/>
      <c r="AP87" s="30"/>
      <c r="AQ87" s="30"/>
      <c r="AR87" s="30">
        <v>30</v>
      </c>
      <c r="AS87" s="30">
        <v>30</v>
      </c>
      <c r="AT87" s="30">
        <v>20</v>
      </c>
      <c r="AU87" s="30">
        <v>20</v>
      </c>
      <c r="AV87" s="30"/>
      <c r="AW87" s="30"/>
      <c r="AX87" s="30"/>
    </row>
    <row r="88" ht="25.5" customHeight="1">
      <c r="A88" s="16"/>
      <c r="B88" t="s" s="17">
        <v>25</v>
      </c>
      <c r="C88" t="s" s="31">
        <v>26</v>
      </c>
      <c r="D88" t="s" s="32">
        <v>85</v>
      </c>
      <c r="E88" t="s" s="33">
        <v>79</v>
      </c>
      <c r="F88" t="s" s="21">
        <v>50</v>
      </c>
      <c r="G88" t="s" s="22">
        <v>67</v>
      </c>
      <c r="H88" s="23">
        <v>36486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5"/>
      <c r="U88" s="26">
        <f>SUM(H88:T88)</f>
        <v>36486</v>
      </c>
      <c r="V88" s="27">
        <v>22</v>
      </c>
      <c r="W88" s="28">
        <v>5</v>
      </c>
      <c r="X88" s="29">
        <f>SUM(V88,W88)</f>
        <v>27</v>
      </c>
      <c r="Y88" s="27">
        <f>X88*U88</f>
        <v>985122</v>
      </c>
      <c r="Z88" s="29">
        <f>Y88*100/$Y$237</f>
        <v>0.671283898751893</v>
      </c>
      <c r="AA88" s="30"/>
      <c r="AB88" s="30"/>
      <c r="AC88" s="30"/>
      <c r="AD88" s="30"/>
      <c r="AE88" s="30"/>
      <c r="AF88" s="30">
        <v>40</v>
      </c>
      <c r="AG88" s="30">
        <v>40</v>
      </c>
      <c r="AH88" s="30">
        <v>20</v>
      </c>
      <c r="AI88" s="30"/>
      <c r="AJ88" s="30"/>
      <c r="AK88" s="30"/>
      <c r="AL88" s="30"/>
      <c r="AM88" s="30"/>
      <c r="AN88" s="30"/>
      <c r="AO88" s="30"/>
      <c r="AP88" s="30"/>
      <c r="AQ88" s="30"/>
      <c r="AR88" s="30">
        <v>30</v>
      </c>
      <c r="AS88" s="30">
        <v>30</v>
      </c>
      <c r="AT88" s="30">
        <v>20</v>
      </c>
      <c r="AU88" s="30">
        <v>20</v>
      </c>
      <c r="AV88" s="30"/>
      <c r="AW88" s="30"/>
      <c r="AX88" s="30"/>
    </row>
    <row r="89" ht="25.5" customHeight="1">
      <c r="A89" s="16"/>
      <c r="B89" t="s" s="17">
        <v>25</v>
      </c>
      <c r="C89" t="s" s="31">
        <v>26</v>
      </c>
      <c r="D89" t="s" s="32">
        <v>85</v>
      </c>
      <c r="E89" t="s" s="33">
        <v>79</v>
      </c>
      <c r="F89" t="s" s="21">
        <v>82</v>
      </c>
      <c r="G89" t="s" s="22">
        <v>67</v>
      </c>
      <c r="H89" s="23">
        <v>1132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5"/>
      <c r="U89" s="26">
        <f>SUM(H89:T89)</f>
        <v>1132</v>
      </c>
      <c r="V89" s="27">
        <v>22</v>
      </c>
      <c r="W89" s="28">
        <v>4.5</v>
      </c>
      <c r="X89" s="29">
        <f>SUM(V89,W89)</f>
        <v>26.5</v>
      </c>
      <c r="Y89" s="27">
        <f>X89*U89</f>
        <v>29998</v>
      </c>
      <c r="Z89" s="29">
        <f>Y89*100/$Y$237</f>
        <v>0.0204413000570074</v>
      </c>
      <c r="AA89" s="30"/>
      <c r="AB89" s="30"/>
      <c r="AC89" s="30"/>
      <c r="AD89" s="30"/>
      <c r="AE89" s="30"/>
      <c r="AF89" s="30">
        <v>40</v>
      </c>
      <c r="AG89" s="30">
        <v>40</v>
      </c>
      <c r="AH89" s="30">
        <v>20</v>
      </c>
      <c r="AI89" s="30"/>
      <c r="AJ89" s="30"/>
      <c r="AK89" s="30"/>
      <c r="AL89" s="30"/>
      <c r="AM89" s="30"/>
      <c r="AN89" s="30"/>
      <c r="AO89" s="30"/>
      <c r="AP89" s="30"/>
      <c r="AQ89" s="30"/>
      <c r="AR89" s="30">
        <v>30</v>
      </c>
      <c r="AS89" s="30">
        <v>30</v>
      </c>
      <c r="AT89" s="30">
        <v>20</v>
      </c>
      <c r="AU89" s="30">
        <v>20</v>
      </c>
      <c r="AV89" s="30"/>
      <c r="AW89" s="30"/>
      <c r="AX89" s="30"/>
    </row>
    <row r="90" ht="25.5" customHeight="1">
      <c r="A90" s="16"/>
      <c r="B90" t="s" s="17">
        <v>25</v>
      </c>
      <c r="C90" t="s" s="31">
        <v>26</v>
      </c>
      <c r="D90" t="s" s="32">
        <v>85</v>
      </c>
      <c r="E90" t="s" s="33">
        <v>79</v>
      </c>
      <c r="F90" t="s" s="21">
        <v>83</v>
      </c>
      <c r="G90" t="s" s="22">
        <v>67</v>
      </c>
      <c r="H90" s="23">
        <v>0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5"/>
      <c r="U90" s="26">
        <f>SUM(H90:T90)</f>
        <v>0</v>
      </c>
      <c r="V90" s="27">
        <v>22</v>
      </c>
      <c r="W90" s="28">
        <v>4.5</v>
      </c>
      <c r="X90" s="29">
        <f>SUM(V90,W90)</f>
        <v>26.5</v>
      </c>
      <c r="Y90" s="27">
        <f>X90*U90</f>
        <v>0</v>
      </c>
      <c r="Z90" s="29">
        <f>Y90*100/$Y$237</f>
        <v>0</v>
      </c>
      <c r="AA90" s="30"/>
      <c r="AB90" s="30"/>
      <c r="AC90" s="30"/>
      <c r="AD90" s="30"/>
      <c r="AE90" s="30"/>
      <c r="AF90" s="30">
        <v>40</v>
      </c>
      <c r="AG90" s="30">
        <v>40</v>
      </c>
      <c r="AH90" s="30">
        <v>20</v>
      </c>
      <c r="AI90" s="30"/>
      <c r="AJ90" s="30"/>
      <c r="AK90" s="30"/>
      <c r="AL90" s="30"/>
      <c r="AM90" s="30"/>
      <c r="AN90" s="30"/>
      <c r="AO90" s="30"/>
      <c r="AP90" s="30"/>
      <c r="AQ90" s="30"/>
      <c r="AR90" s="30">
        <v>30</v>
      </c>
      <c r="AS90" s="30">
        <v>30</v>
      </c>
      <c r="AT90" s="30">
        <v>20</v>
      </c>
      <c r="AU90" s="30">
        <v>20</v>
      </c>
      <c r="AV90" s="30"/>
      <c r="AW90" s="30"/>
      <c r="AX90" s="30"/>
    </row>
    <row r="91" ht="25.5" customHeight="1">
      <c r="A91" s="16"/>
      <c r="B91" t="s" s="17">
        <v>25</v>
      </c>
      <c r="C91" t="s" s="31">
        <v>26</v>
      </c>
      <c r="D91" t="s" s="32">
        <v>85</v>
      </c>
      <c r="E91" t="s" s="33">
        <v>79</v>
      </c>
      <c r="F91" t="s" s="21">
        <v>84</v>
      </c>
      <c r="G91" t="s" s="22">
        <v>67</v>
      </c>
      <c r="H91" s="23">
        <v>0</v>
      </c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5"/>
      <c r="U91" s="26">
        <f>SUM(H91:T91)</f>
        <v>0</v>
      </c>
      <c r="V91" s="27">
        <v>22</v>
      </c>
      <c r="W91" s="28">
        <v>4.5</v>
      </c>
      <c r="X91" s="29">
        <f>SUM(V91,W91)</f>
        <v>26.5</v>
      </c>
      <c r="Y91" s="27">
        <f>X91*U91</f>
        <v>0</v>
      </c>
      <c r="Z91" s="29">
        <f>Y91*100/$Y$237</f>
        <v>0</v>
      </c>
      <c r="AA91" s="30"/>
      <c r="AB91" s="30"/>
      <c r="AC91" s="30"/>
      <c r="AD91" s="30"/>
      <c r="AE91" s="30"/>
      <c r="AF91" s="30">
        <v>40</v>
      </c>
      <c r="AG91" s="30">
        <v>40</v>
      </c>
      <c r="AH91" s="30">
        <v>20</v>
      </c>
      <c r="AI91" s="30"/>
      <c r="AJ91" s="30"/>
      <c r="AK91" s="30"/>
      <c r="AL91" s="30"/>
      <c r="AM91" s="30"/>
      <c r="AN91" s="30"/>
      <c r="AO91" s="30"/>
      <c r="AP91" s="30"/>
      <c r="AQ91" s="30"/>
      <c r="AR91" s="30">
        <v>30</v>
      </c>
      <c r="AS91" s="30">
        <v>30</v>
      </c>
      <c r="AT91" s="30">
        <v>20</v>
      </c>
      <c r="AU91" s="30">
        <v>20</v>
      </c>
      <c r="AV91" s="30"/>
      <c r="AW91" s="30"/>
      <c r="AX91" s="30"/>
    </row>
    <row r="92" ht="25.5" customHeight="1">
      <c r="A92" s="16"/>
      <c r="B92" t="s" s="17">
        <v>25</v>
      </c>
      <c r="C92" t="s" s="31">
        <v>26</v>
      </c>
      <c r="D92" t="s" s="32">
        <v>85</v>
      </c>
      <c r="E92" t="s" s="33">
        <v>79</v>
      </c>
      <c r="F92" t="s" s="21">
        <v>54</v>
      </c>
      <c r="G92" t="s" s="22">
        <v>67</v>
      </c>
      <c r="H92" s="23">
        <v>0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5"/>
      <c r="U92" s="26">
        <f>SUM(H92:T92)</f>
        <v>0</v>
      </c>
      <c r="V92" s="27">
        <v>22.5</v>
      </c>
      <c r="W92" s="28">
        <v>4.5</v>
      </c>
      <c r="X92" s="29">
        <f>SUM(V92,W92)</f>
        <v>27</v>
      </c>
      <c r="Y92" s="27">
        <f>X92*U92</f>
        <v>0</v>
      </c>
      <c r="Z92" s="29">
        <f>Y92*100/$Y$237</f>
        <v>0</v>
      </c>
      <c r="AA92" s="30"/>
      <c r="AB92" s="30"/>
      <c r="AC92" s="30"/>
      <c r="AD92" s="30"/>
      <c r="AE92" s="30"/>
      <c r="AF92" s="30">
        <v>40</v>
      </c>
      <c r="AG92" s="30">
        <v>40</v>
      </c>
      <c r="AH92" s="30">
        <v>20</v>
      </c>
      <c r="AI92" s="30"/>
      <c r="AJ92" s="30"/>
      <c r="AK92" s="30"/>
      <c r="AL92" s="30"/>
      <c r="AM92" s="30"/>
      <c r="AN92" s="30"/>
      <c r="AO92" s="30"/>
      <c r="AP92" s="30"/>
      <c r="AQ92" s="30"/>
      <c r="AR92" s="30">
        <v>30</v>
      </c>
      <c r="AS92" s="30">
        <v>30</v>
      </c>
      <c r="AT92" s="30">
        <v>20</v>
      </c>
      <c r="AU92" s="30">
        <v>20</v>
      </c>
      <c r="AV92" s="30"/>
      <c r="AW92" s="30"/>
      <c r="AX92" s="30"/>
    </row>
    <row r="93" ht="25.5" customHeight="1">
      <c r="A93" s="16"/>
      <c r="B93" t="s" s="17">
        <v>25</v>
      </c>
      <c r="C93" t="s" s="31">
        <v>26</v>
      </c>
      <c r="D93" t="s" s="32">
        <v>85</v>
      </c>
      <c r="E93" t="s" s="33">
        <v>68</v>
      </c>
      <c r="F93" t="s" s="21">
        <v>86</v>
      </c>
      <c r="G93" t="s" s="22">
        <v>40</v>
      </c>
      <c r="H93" s="23">
        <v>470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5"/>
      <c r="U93" s="26">
        <f>SUM(H93:T93)</f>
        <v>470</v>
      </c>
      <c r="V93" s="27">
        <v>225</v>
      </c>
      <c r="W93" s="28">
        <v>45</v>
      </c>
      <c r="X93" s="29">
        <f>SUM(V93,W93)</f>
        <v>270</v>
      </c>
      <c r="Y93" s="27">
        <f>X93*U93</f>
        <v>126900</v>
      </c>
      <c r="Z93" s="29">
        <f>Y93*100/$Y$237</f>
        <v>0.08647246407207961</v>
      </c>
      <c r="AA93" s="30"/>
      <c r="AB93" s="30"/>
      <c r="AC93" s="30"/>
      <c r="AD93" s="30"/>
      <c r="AE93" s="30"/>
      <c r="AF93" s="30">
        <v>40</v>
      </c>
      <c r="AG93" s="30">
        <v>40</v>
      </c>
      <c r="AH93" s="30">
        <v>20</v>
      </c>
      <c r="AI93" s="30"/>
      <c r="AJ93" s="30"/>
      <c r="AK93" s="30"/>
      <c r="AL93" s="30"/>
      <c r="AM93" s="30"/>
      <c r="AN93" s="30"/>
      <c r="AO93" s="30"/>
      <c r="AP93" s="30"/>
      <c r="AQ93" s="30"/>
      <c r="AR93" s="30">
        <v>30</v>
      </c>
      <c r="AS93" s="30">
        <v>30</v>
      </c>
      <c r="AT93" s="30">
        <v>20</v>
      </c>
      <c r="AU93" s="30">
        <v>20</v>
      </c>
      <c r="AV93" s="30"/>
      <c r="AW93" s="30"/>
      <c r="AX93" s="30"/>
    </row>
    <row r="94" ht="25.5" customHeight="1">
      <c r="A94" s="16"/>
      <c r="B94" t="s" s="17">
        <v>25</v>
      </c>
      <c r="C94" t="s" s="31">
        <v>26</v>
      </c>
      <c r="D94" t="s" s="32">
        <v>85</v>
      </c>
      <c r="E94" t="s" s="33">
        <v>68</v>
      </c>
      <c r="F94" t="s" s="21">
        <v>87</v>
      </c>
      <c r="G94" t="s" s="22">
        <v>72</v>
      </c>
      <c r="H94" s="23">
        <v>0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5"/>
      <c r="U94" s="26">
        <f>SUM(H94:T94)</f>
        <v>0</v>
      </c>
      <c r="V94" s="27">
        <v>0</v>
      </c>
      <c r="W94" s="28">
        <v>0</v>
      </c>
      <c r="X94" s="29">
        <f>SUM(V94,W94)</f>
        <v>0</v>
      </c>
      <c r="Y94" s="27">
        <f>X94*U94</f>
        <v>0</v>
      </c>
      <c r="Z94" s="29">
        <f>Y94*100/$Y$237</f>
        <v>0</v>
      </c>
      <c r="AA94" s="30"/>
      <c r="AB94" s="30"/>
      <c r="AC94" s="30"/>
      <c r="AD94" s="30"/>
      <c r="AE94" s="30"/>
      <c r="AF94" s="30">
        <v>40</v>
      </c>
      <c r="AG94" s="30">
        <v>40</v>
      </c>
      <c r="AH94" s="30">
        <v>20</v>
      </c>
      <c r="AI94" s="30"/>
      <c r="AJ94" s="30"/>
      <c r="AK94" s="30"/>
      <c r="AL94" s="30"/>
      <c r="AM94" s="30"/>
      <c r="AN94" s="30"/>
      <c r="AO94" s="30"/>
      <c r="AP94" s="30"/>
      <c r="AQ94" s="30"/>
      <c r="AR94" s="30">
        <v>30</v>
      </c>
      <c r="AS94" s="30">
        <v>30</v>
      </c>
      <c r="AT94" s="30">
        <v>20</v>
      </c>
      <c r="AU94" s="30">
        <v>20</v>
      </c>
      <c r="AV94" s="30"/>
      <c r="AW94" s="30"/>
      <c r="AX94" s="30"/>
    </row>
    <row r="95" ht="25.5" customHeight="1">
      <c r="A95" s="16"/>
      <c r="B95" t="s" s="17">
        <v>25</v>
      </c>
      <c r="C95" t="s" s="31">
        <v>26</v>
      </c>
      <c r="D95" t="s" s="32">
        <v>85</v>
      </c>
      <c r="E95" t="s" s="33">
        <v>61</v>
      </c>
      <c r="F95" t="s" s="21">
        <v>62</v>
      </c>
      <c r="G95" t="s" s="37">
        <v>63</v>
      </c>
      <c r="H95" s="23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2"/>
      <c r="U95" s="26">
        <f>SUM(H95:T95)</f>
        <v>0</v>
      </c>
      <c r="V95" s="27">
        <v>0</v>
      </c>
      <c r="W95" s="28">
        <v>0</v>
      </c>
      <c r="X95" s="29">
        <f>SUM(V95,W95)</f>
        <v>0</v>
      </c>
      <c r="Y95" s="27">
        <f>X95*U95</f>
        <v>0</v>
      </c>
      <c r="Z95" s="29">
        <f>Y95*100/$Y$237</f>
        <v>0</v>
      </c>
      <c r="AA95" s="30"/>
      <c r="AB95" s="30"/>
      <c r="AC95" s="30"/>
      <c r="AD95" s="30"/>
      <c r="AE95" s="30"/>
      <c r="AF95" s="30">
        <v>40</v>
      </c>
      <c r="AG95" s="30">
        <v>40</v>
      </c>
      <c r="AH95" s="30">
        <v>20</v>
      </c>
      <c r="AI95" s="30"/>
      <c r="AJ95" s="30"/>
      <c r="AK95" s="30"/>
      <c r="AL95" s="30"/>
      <c r="AM95" s="30"/>
      <c r="AN95" s="30"/>
      <c r="AO95" s="30"/>
      <c r="AP95" s="30"/>
      <c r="AQ95" s="30"/>
      <c r="AR95" s="30">
        <v>30</v>
      </c>
      <c r="AS95" s="30">
        <v>30</v>
      </c>
      <c r="AT95" s="30">
        <v>20</v>
      </c>
      <c r="AU95" s="30">
        <v>20</v>
      </c>
      <c r="AV95" s="30"/>
      <c r="AW95" s="30"/>
      <c r="AX95" s="30"/>
    </row>
    <row r="96" ht="25.5" customHeight="1">
      <c r="A96" s="16"/>
      <c r="B96" t="s" s="17">
        <v>25</v>
      </c>
      <c r="C96" t="s" s="31">
        <v>26</v>
      </c>
      <c r="D96" t="s" s="32">
        <v>85</v>
      </c>
      <c r="E96" t="s" s="39">
        <v>73</v>
      </c>
      <c r="F96" t="s" s="43">
        <v>88</v>
      </c>
      <c r="G96" t="s" s="44">
        <v>36</v>
      </c>
      <c r="H96" s="34">
        <v>254</v>
      </c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2"/>
      <c r="U96" s="26">
        <v>254</v>
      </c>
      <c r="V96" s="27">
        <v>2060</v>
      </c>
      <c r="W96" s="28">
        <v>265</v>
      </c>
      <c r="X96" s="29">
        <f>SUM(V96,W96)</f>
        <v>2325</v>
      </c>
      <c r="Y96" s="27">
        <f>X96*U96</f>
        <v>590550</v>
      </c>
      <c r="Z96" s="29">
        <f>Y96*100/$Y$237</f>
        <v>0.402413819210139</v>
      </c>
      <c r="AA96" s="30"/>
      <c r="AB96" s="30"/>
      <c r="AC96" s="30"/>
      <c r="AD96" s="30"/>
      <c r="AE96" s="30"/>
      <c r="AF96" s="30">
        <v>40</v>
      </c>
      <c r="AG96" s="30">
        <v>40</v>
      </c>
      <c r="AH96" s="30">
        <v>20</v>
      </c>
      <c r="AI96" s="30"/>
      <c r="AJ96" s="30"/>
      <c r="AK96" s="30"/>
      <c r="AL96" s="30"/>
      <c r="AM96" s="30"/>
      <c r="AN96" s="30"/>
      <c r="AO96" s="30"/>
      <c r="AP96" s="30"/>
      <c r="AQ96" s="30"/>
      <c r="AR96" s="30">
        <v>30</v>
      </c>
      <c r="AS96" s="30">
        <v>30</v>
      </c>
      <c r="AT96" s="30">
        <v>20</v>
      </c>
      <c r="AU96" s="30">
        <v>20</v>
      </c>
      <c r="AV96" s="30"/>
      <c r="AW96" s="30"/>
      <c r="AX96" s="30"/>
    </row>
    <row r="97" ht="25.5" customHeight="1">
      <c r="A97" s="16"/>
      <c r="B97" t="s" s="17">
        <v>25</v>
      </c>
      <c r="C97" t="s" s="31">
        <v>26</v>
      </c>
      <c r="D97" t="s" s="32">
        <v>85</v>
      </c>
      <c r="E97" t="s" s="39">
        <v>73</v>
      </c>
      <c r="F97" t="s" s="45">
        <v>89</v>
      </c>
      <c r="G97" t="s" s="44">
        <v>40</v>
      </c>
      <c r="H97" s="34">
        <v>940</v>
      </c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2"/>
      <c r="U97" s="26">
        <v>940</v>
      </c>
      <c r="V97" s="27">
        <v>0</v>
      </c>
      <c r="W97" s="28">
        <v>0</v>
      </c>
      <c r="X97" s="29">
        <f>SUM(V97,W97)</f>
        <v>0</v>
      </c>
      <c r="Y97" s="27">
        <f>X97*U97</f>
        <v>0</v>
      </c>
      <c r="Z97" s="29">
        <f>Y97*100/$Y$237</f>
        <v>0</v>
      </c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</row>
    <row r="98" ht="25.5" customHeight="1">
      <c r="A98" s="16"/>
      <c r="B98" t="s" s="17">
        <v>25</v>
      </c>
      <c r="C98" t="s" s="31">
        <v>90</v>
      </c>
      <c r="D98" t="s" s="32">
        <v>91</v>
      </c>
      <c r="E98" t="s" s="33">
        <v>76</v>
      </c>
      <c r="F98" t="s" s="21">
        <v>77</v>
      </c>
      <c r="G98" t="s" s="22">
        <v>36</v>
      </c>
      <c r="H98" s="23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5">
        <v>0</v>
      </c>
      <c r="U98" s="26">
        <f>SUM(H98:T98)</f>
        <v>0</v>
      </c>
      <c r="V98" s="27">
        <v>0</v>
      </c>
      <c r="W98" s="28">
        <v>115</v>
      </c>
      <c r="X98" s="29">
        <f>SUM(V98,W98)</f>
        <v>115</v>
      </c>
      <c r="Y98" s="27">
        <f>X98*U98</f>
        <v>0</v>
      </c>
      <c r="Z98" s="29">
        <f>Y98*100/$Y$237</f>
        <v>0</v>
      </c>
      <c r="AA98" s="30"/>
      <c r="AB98" s="30"/>
      <c r="AC98" s="30"/>
      <c r="AD98" s="30"/>
      <c r="AE98" s="30"/>
      <c r="AF98" s="30"/>
      <c r="AG98" s="30"/>
      <c r="AH98" s="30">
        <v>30</v>
      </c>
      <c r="AI98" s="30">
        <v>30</v>
      </c>
      <c r="AJ98" s="30">
        <v>30</v>
      </c>
      <c r="AK98" s="30">
        <v>10</v>
      </c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</row>
    <row r="99" ht="25.5" customHeight="1">
      <c r="A99" s="16"/>
      <c r="B99" t="s" s="17">
        <v>25</v>
      </c>
      <c r="C99" t="s" s="31">
        <v>90</v>
      </c>
      <c r="D99" t="s" s="32">
        <v>91</v>
      </c>
      <c r="E99" t="s" s="33">
        <v>76</v>
      </c>
      <c r="F99" t="s" s="21">
        <v>37</v>
      </c>
      <c r="G99" t="s" s="22">
        <v>36</v>
      </c>
      <c r="H99" s="23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5">
        <v>0</v>
      </c>
      <c r="U99" s="26">
        <f>SUM(H99:T99)</f>
        <v>0</v>
      </c>
      <c r="V99" s="27">
        <v>0</v>
      </c>
      <c r="W99" s="28">
        <v>75</v>
      </c>
      <c r="X99" s="29">
        <f>SUM(V99,W99)</f>
        <v>75</v>
      </c>
      <c r="Y99" s="27">
        <f>X99*U99</f>
        <v>0</v>
      </c>
      <c r="Z99" s="29">
        <f>Y99*100/$Y$237</f>
        <v>0</v>
      </c>
      <c r="AA99" s="30"/>
      <c r="AB99" s="30"/>
      <c r="AC99" s="30"/>
      <c r="AD99" s="30"/>
      <c r="AE99" s="30"/>
      <c r="AF99" s="30"/>
      <c r="AG99" s="30"/>
      <c r="AH99" s="30">
        <v>30</v>
      </c>
      <c r="AI99" s="30">
        <v>30</v>
      </c>
      <c r="AJ99" s="30">
        <v>30</v>
      </c>
      <c r="AK99" s="30">
        <v>10</v>
      </c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</row>
    <row r="100" ht="25.5" customHeight="1">
      <c r="A100" s="16"/>
      <c r="B100" t="s" s="17">
        <v>25</v>
      </c>
      <c r="C100" t="s" s="31">
        <v>90</v>
      </c>
      <c r="D100" t="s" s="32">
        <v>91</v>
      </c>
      <c r="E100" t="s" s="33">
        <v>76</v>
      </c>
      <c r="F100" t="s" s="21">
        <v>38</v>
      </c>
      <c r="G100" t="s" s="22">
        <v>36</v>
      </c>
      <c r="H100" s="23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5">
        <v>0</v>
      </c>
      <c r="U100" s="26">
        <f>SUM(H100:T100)</f>
        <v>0</v>
      </c>
      <c r="V100" s="27">
        <v>0</v>
      </c>
      <c r="W100" s="28">
        <v>115</v>
      </c>
      <c r="X100" s="29">
        <f>SUM(V100,W100)</f>
        <v>115</v>
      </c>
      <c r="Y100" s="27">
        <f>X100*U100</f>
        <v>0</v>
      </c>
      <c r="Z100" s="29">
        <f>Y100*100/$Y$237</f>
        <v>0</v>
      </c>
      <c r="AA100" s="30"/>
      <c r="AB100" s="30"/>
      <c r="AC100" s="30"/>
      <c r="AD100" s="30"/>
      <c r="AE100" s="30"/>
      <c r="AF100" s="30"/>
      <c r="AG100" s="30"/>
      <c r="AH100" s="30">
        <v>30</v>
      </c>
      <c r="AI100" s="30">
        <v>30</v>
      </c>
      <c r="AJ100" s="30">
        <v>30</v>
      </c>
      <c r="AK100" s="30">
        <v>10</v>
      </c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</row>
    <row r="101" ht="25.5" customHeight="1">
      <c r="A101" s="16"/>
      <c r="B101" t="s" s="17">
        <v>25</v>
      </c>
      <c r="C101" t="s" s="31">
        <v>90</v>
      </c>
      <c r="D101" t="s" s="32">
        <v>91</v>
      </c>
      <c r="E101" t="s" s="33">
        <v>76</v>
      </c>
      <c r="F101" t="s" s="21">
        <v>78</v>
      </c>
      <c r="G101" t="s" s="22">
        <v>40</v>
      </c>
      <c r="H101" s="23">
        <v>0</v>
      </c>
      <c r="I101" s="24">
        <v>205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5">
        <v>0</v>
      </c>
      <c r="U101" s="26">
        <f>SUM(H101:T101)</f>
        <v>205</v>
      </c>
      <c r="V101" s="27">
        <v>0</v>
      </c>
      <c r="W101" s="28">
        <v>40</v>
      </c>
      <c r="X101" s="29">
        <f>SUM(V101,W101)</f>
        <v>40</v>
      </c>
      <c r="Y101" s="27">
        <f>X101*U101</f>
        <v>8200</v>
      </c>
      <c r="Z101" s="29">
        <f>Y101*100/$Y$237</f>
        <v>0.0055876611929949</v>
      </c>
      <c r="AA101" s="30"/>
      <c r="AB101" s="30"/>
      <c r="AC101" s="30"/>
      <c r="AD101" s="30"/>
      <c r="AE101" s="30"/>
      <c r="AF101" s="30"/>
      <c r="AG101" s="30"/>
      <c r="AH101" s="30">
        <v>30</v>
      </c>
      <c r="AI101" s="30">
        <v>30</v>
      </c>
      <c r="AJ101" s="30">
        <v>30</v>
      </c>
      <c r="AK101" s="30">
        <v>10</v>
      </c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</row>
    <row r="102" ht="25.5" customHeight="1">
      <c r="A102" s="16"/>
      <c r="B102" t="s" s="17">
        <v>25</v>
      </c>
      <c r="C102" t="s" s="31">
        <v>90</v>
      </c>
      <c r="D102" t="s" s="32">
        <v>91</v>
      </c>
      <c r="E102" t="s" s="33">
        <v>76</v>
      </c>
      <c r="F102" t="s" s="21">
        <v>79</v>
      </c>
      <c r="G102" t="s" s="22">
        <v>40</v>
      </c>
      <c r="H102" s="23">
        <v>0</v>
      </c>
      <c r="I102" s="24">
        <v>205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5">
        <v>0</v>
      </c>
      <c r="U102" s="26">
        <f>SUM(H102:T102)</f>
        <v>205</v>
      </c>
      <c r="V102" s="27">
        <v>95</v>
      </c>
      <c r="W102" s="28">
        <v>15</v>
      </c>
      <c r="X102" s="29">
        <f>SUM(V102,W102)</f>
        <v>110</v>
      </c>
      <c r="Y102" s="27">
        <f>X102*U102</f>
        <v>22550</v>
      </c>
      <c r="Z102" s="29">
        <f>Y102*100/$Y$237</f>
        <v>0.015366068280736</v>
      </c>
      <c r="AA102" s="30"/>
      <c r="AB102" s="30"/>
      <c r="AC102" s="30"/>
      <c r="AD102" s="30"/>
      <c r="AE102" s="30"/>
      <c r="AF102" s="30"/>
      <c r="AG102" s="30"/>
      <c r="AH102" s="30">
        <v>30</v>
      </c>
      <c r="AI102" s="30">
        <v>30</v>
      </c>
      <c r="AJ102" s="30">
        <v>30</v>
      </c>
      <c r="AK102" s="30">
        <v>10</v>
      </c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</row>
    <row r="103" ht="25.5" customHeight="1">
      <c r="A103" s="16"/>
      <c r="B103" t="s" s="17">
        <v>25</v>
      </c>
      <c r="C103" t="s" s="31">
        <v>90</v>
      </c>
      <c r="D103" t="s" s="32">
        <v>91</v>
      </c>
      <c r="E103" t="s" s="33">
        <v>76</v>
      </c>
      <c r="F103" t="s" s="21">
        <v>80</v>
      </c>
      <c r="G103" t="s" s="22">
        <v>40</v>
      </c>
      <c r="H103" s="23">
        <v>0</v>
      </c>
      <c r="I103" s="24">
        <v>205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5">
        <v>0</v>
      </c>
      <c r="U103" s="26">
        <f>SUM(H103:T103)</f>
        <v>205</v>
      </c>
      <c r="V103" s="27">
        <v>165</v>
      </c>
      <c r="W103" s="28">
        <v>75</v>
      </c>
      <c r="X103" s="29">
        <f>SUM(V103,W103)</f>
        <v>240</v>
      </c>
      <c r="Y103" s="27">
        <f>X103*U103</f>
        <v>49200</v>
      </c>
      <c r="Z103" s="29">
        <f>Y103*100/$Y$237</f>
        <v>0.0335259671579694</v>
      </c>
      <c r="AA103" s="30"/>
      <c r="AB103" s="30"/>
      <c r="AC103" s="30"/>
      <c r="AD103" s="30"/>
      <c r="AE103" s="30"/>
      <c r="AF103" s="30"/>
      <c r="AG103" s="30"/>
      <c r="AH103" s="30">
        <v>30</v>
      </c>
      <c r="AI103" s="30">
        <v>30</v>
      </c>
      <c r="AJ103" s="30">
        <v>30</v>
      </c>
      <c r="AK103" s="30">
        <v>10</v>
      </c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</row>
    <row r="104" ht="25.5" customHeight="1">
      <c r="A104" s="16"/>
      <c r="B104" t="s" s="17">
        <v>25</v>
      </c>
      <c r="C104" t="s" s="31">
        <v>90</v>
      </c>
      <c r="D104" t="s" s="32">
        <v>91</v>
      </c>
      <c r="E104" t="s" s="33">
        <v>76</v>
      </c>
      <c r="F104" t="s" s="21">
        <v>92</v>
      </c>
      <c r="G104" t="s" s="22">
        <v>40</v>
      </c>
      <c r="H104" s="23">
        <v>0</v>
      </c>
      <c r="I104" s="24">
        <v>205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5">
        <v>0</v>
      </c>
      <c r="U104" s="26">
        <f>SUM(H104:T104)</f>
        <v>205</v>
      </c>
      <c r="V104" s="27">
        <v>25</v>
      </c>
      <c r="W104" s="28">
        <v>10</v>
      </c>
      <c r="X104" s="29">
        <f>SUM(V104,W104)</f>
        <v>35</v>
      </c>
      <c r="Y104" s="27">
        <f>X104*U104</f>
        <v>7175</v>
      </c>
      <c r="Z104" s="29">
        <f>Y104*100/$Y$237</f>
        <v>0.00488920354387054</v>
      </c>
      <c r="AA104" s="30"/>
      <c r="AB104" s="30"/>
      <c r="AC104" s="30"/>
      <c r="AD104" s="30"/>
      <c r="AE104" s="30"/>
      <c r="AF104" s="30"/>
      <c r="AG104" s="30"/>
      <c r="AH104" s="30">
        <v>30</v>
      </c>
      <c r="AI104" s="30">
        <v>30</v>
      </c>
      <c r="AJ104" s="30">
        <v>30</v>
      </c>
      <c r="AK104" s="30">
        <v>10</v>
      </c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</row>
    <row r="105" ht="25.5" customHeight="1">
      <c r="A105" s="16"/>
      <c r="B105" t="s" s="17">
        <v>25</v>
      </c>
      <c r="C105" t="s" s="31">
        <v>90</v>
      </c>
      <c r="D105" t="s" s="32">
        <v>91</v>
      </c>
      <c r="E105" t="s" s="33">
        <v>76</v>
      </c>
      <c r="F105" t="s" s="21">
        <v>43</v>
      </c>
      <c r="G105" t="s" s="22">
        <v>36</v>
      </c>
      <c r="H105" s="23">
        <v>0</v>
      </c>
      <c r="I105" s="24">
        <v>151</v>
      </c>
      <c r="J105" s="24">
        <v>121</v>
      </c>
      <c r="K105" s="24">
        <v>175</v>
      </c>
      <c r="L105" s="24">
        <v>12</v>
      </c>
      <c r="M105" s="24">
        <v>8</v>
      </c>
      <c r="N105" s="24">
        <v>8</v>
      </c>
      <c r="O105" s="24">
        <v>8</v>
      </c>
      <c r="P105" s="24">
        <v>8</v>
      </c>
      <c r="Q105" s="24">
        <v>8</v>
      </c>
      <c r="R105" s="24">
        <v>8</v>
      </c>
      <c r="S105" s="24">
        <v>407</v>
      </c>
      <c r="T105" s="25">
        <v>9</v>
      </c>
      <c r="U105" s="26">
        <f>SUM(H105:T105)</f>
        <v>923</v>
      </c>
      <c r="V105" s="27">
        <v>1985</v>
      </c>
      <c r="W105" s="28">
        <v>265</v>
      </c>
      <c r="X105" s="29">
        <f>SUM(V105,W105)</f>
        <v>2250</v>
      </c>
      <c r="Y105" s="27">
        <f>X105*U105</f>
        <v>2076750</v>
      </c>
      <c r="Z105" s="29">
        <f>Y105*100/$Y$237</f>
        <v>1.41514333933563</v>
      </c>
      <c r="AA105" s="30"/>
      <c r="AB105" s="30"/>
      <c r="AC105" s="30"/>
      <c r="AD105" s="30"/>
      <c r="AE105" s="30"/>
      <c r="AF105" s="30"/>
      <c r="AG105" s="30"/>
      <c r="AH105" s="30">
        <v>30</v>
      </c>
      <c r="AI105" s="30">
        <v>30</v>
      </c>
      <c r="AJ105" s="30">
        <v>30</v>
      </c>
      <c r="AK105" s="30">
        <v>10</v>
      </c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</row>
    <row r="106" ht="25.5" customHeight="1">
      <c r="A106" s="16"/>
      <c r="B106" t="s" s="17">
        <v>25</v>
      </c>
      <c r="C106" t="s" s="31">
        <v>90</v>
      </c>
      <c r="D106" t="s" s="32">
        <v>91</v>
      </c>
      <c r="E106" t="s" s="33">
        <v>76</v>
      </c>
      <c r="F106" t="s" s="21">
        <v>44</v>
      </c>
      <c r="G106" t="s" s="22">
        <v>40</v>
      </c>
      <c r="H106" s="23">
        <v>0</v>
      </c>
      <c r="I106" s="24">
        <v>760</v>
      </c>
      <c r="J106" s="24">
        <v>686</v>
      </c>
      <c r="K106" s="24">
        <v>733</v>
      </c>
      <c r="L106" s="24">
        <v>93</v>
      </c>
      <c r="M106" s="24">
        <v>57</v>
      </c>
      <c r="N106" s="24">
        <v>57</v>
      </c>
      <c r="O106" s="24">
        <v>57</v>
      </c>
      <c r="P106" s="24">
        <v>57</v>
      </c>
      <c r="Q106" s="24">
        <v>57</v>
      </c>
      <c r="R106" s="24">
        <v>57</v>
      </c>
      <c r="S106" s="24">
        <v>1235</v>
      </c>
      <c r="T106" s="25">
        <v>78</v>
      </c>
      <c r="U106" s="26">
        <f>SUM(H106:T106)</f>
        <v>3927</v>
      </c>
      <c r="V106" s="35">
        <v>195</v>
      </c>
      <c r="W106" s="36">
        <v>260</v>
      </c>
      <c r="X106" s="29">
        <f>SUM(V106,W106)</f>
        <v>455</v>
      </c>
      <c r="Y106" s="35">
        <f>X106*U106</f>
        <v>1786785</v>
      </c>
      <c r="Z106" s="29">
        <f>Y106*100/$Y$237</f>
        <v>1.21755478106407</v>
      </c>
      <c r="AA106" s="30"/>
      <c r="AB106" s="30"/>
      <c r="AC106" s="30"/>
      <c r="AD106" s="30"/>
      <c r="AE106" s="30"/>
      <c r="AF106" s="30"/>
      <c r="AG106" s="30"/>
      <c r="AH106" s="30">
        <v>30</v>
      </c>
      <c r="AI106" s="30">
        <v>30</v>
      </c>
      <c r="AJ106" s="30">
        <v>30</v>
      </c>
      <c r="AK106" s="30">
        <v>10</v>
      </c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</row>
    <row r="107" ht="25.5" customHeight="1">
      <c r="A107" s="16"/>
      <c r="B107" t="s" s="17">
        <v>25</v>
      </c>
      <c r="C107" t="s" s="31">
        <v>90</v>
      </c>
      <c r="D107" t="s" s="32">
        <v>91</v>
      </c>
      <c r="E107" t="s" s="33">
        <v>76</v>
      </c>
      <c r="F107" t="s" s="21">
        <v>45</v>
      </c>
      <c r="G107" t="s" s="22">
        <v>46</v>
      </c>
      <c r="H107" s="23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5">
        <v>0</v>
      </c>
      <c r="U107" s="26">
        <f>SUM(H107:T107)</f>
        <v>0</v>
      </c>
      <c r="V107" s="27">
        <v>24</v>
      </c>
      <c r="W107" s="28">
        <v>5.5</v>
      </c>
      <c r="X107" s="29">
        <f>SUM(V107,W107)</f>
        <v>29.5</v>
      </c>
      <c r="Y107" s="27">
        <f>X107*U107</f>
        <v>0</v>
      </c>
      <c r="Z107" s="29">
        <f>Y107*100/$Y$237</f>
        <v>0</v>
      </c>
      <c r="AA107" s="30"/>
      <c r="AB107" s="30"/>
      <c r="AC107" s="30"/>
      <c r="AD107" s="30"/>
      <c r="AE107" s="30"/>
      <c r="AF107" s="30"/>
      <c r="AG107" s="30"/>
      <c r="AH107" s="30">
        <v>30</v>
      </c>
      <c r="AI107" s="30">
        <v>30</v>
      </c>
      <c r="AJ107" s="30">
        <v>30</v>
      </c>
      <c r="AK107" s="30">
        <v>10</v>
      </c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</row>
    <row r="108" ht="25.5" customHeight="1">
      <c r="A108" s="16"/>
      <c r="B108" t="s" s="17">
        <v>25</v>
      </c>
      <c r="C108" t="s" s="31">
        <v>90</v>
      </c>
      <c r="D108" t="s" s="32">
        <v>91</v>
      </c>
      <c r="E108" t="s" s="33">
        <v>76</v>
      </c>
      <c r="F108" t="s" s="21">
        <v>47</v>
      </c>
      <c r="G108" t="s" s="22">
        <v>46</v>
      </c>
      <c r="H108" s="23">
        <v>0</v>
      </c>
      <c r="I108" s="24">
        <v>0</v>
      </c>
      <c r="J108" s="24">
        <v>0</v>
      </c>
      <c r="K108" s="24">
        <v>44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5">
        <v>0</v>
      </c>
      <c r="U108" s="26">
        <f>SUM(H108:T108)</f>
        <v>44</v>
      </c>
      <c r="V108" s="27">
        <v>23</v>
      </c>
      <c r="W108" s="28">
        <v>5.5</v>
      </c>
      <c r="X108" s="29">
        <f>SUM(V108,W108)</f>
        <v>28.5</v>
      </c>
      <c r="Y108" s="27">
        <f>X108*U108</f>
        <v>1254</v>
      </c>
      <c r="Z108" s="29">
        <f>Y108*100/$Y$237</f>
        <v>0.000854503309270195</v>
      </c>
      <c r="AA108" s="30"/>
      <c r="AB108" s="30"/>
      <c r="AC108" s="30"/>
      <c r="AD108" s="30"/>
      <c r="AE108" s="30"/>
      <c r="AF108" s="30"/>
      <c r="AG108" s="30"/>
      <c r="AH108" s="30">
        <v>30</v>
      </c>
      <c r="AI108" s="30">
        <v>30</v>
      </c>
      <c r="AJ108" s="30">
        <v>30</v>
      </c>
      <c r="AK108" s="30">
        <v>10</v>
      </c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</row>
    <row r="109" ht="25.5" customHeight="1">
      <c r="A109" s="16"/>
      <c r="B109" t="s" s="17">
        <v>25</v>
      </c>
      <c r="C109" t="s" s="31">
        <v>90</v>
      </c>
      <c r="D109" t="s" s="32">
        <v>91</v>
      </c>
      <c r="E109" t="s" s="33">
        <v>76</v>
      </c>
      <c r="F109" t="s" s="21">
        <v>48</v>
      </c>
      <c r="G109" t="s" s="22">
        <v>46</v>
      </c>
      <c r="H109" s="23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5">
        <v>0</v>
      </c>
      <c r="U109" s="26">
        <f>SUM(H109:T109)</f>
        <v>0</v>
      </c>
      <c r="V109" s="27">
        <v>23</v>
      </c>
      <c r="W109" s="28">
        <v>5.5</v>
      </c>
      <c r="X109" s="29">
        <f>SUM(V109,W109)</f>
        <v>28.5</v>
      </c>
      <c r="Y109" s="27">
        <f>X109*U109</f>
        <v>0</v>
      </c>
      <c r="Z109" s="29">
        <f>Y109*100/$Y$237</f>
        <v>0</v>
      </c>
      <c r="AA109" s="30"/>
      <c r="AB109" s="30"/>
      <c r="AC109" s="30"/>
      <c r="AD109" s="30"/>
      <c r="AE109" s="30"/>
      <c r="AF109" s="30"/>
      <c r="AG109" s="30"/>
      <c r="AH109" s="30">
        <v>30</v>
      </c>
      <c r="AI109" s="30">
        <v>30</v>
      </c>
      <c r="AJ109" s="30">
        <v>30</v>
      </c>
      <c r="AK109" s="30">
        <v>10</v>
      </c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</row>
    <row r="110" ht="25.5" customHeight="1">
      <c r="A110" s="16"/>
      <c r="B110" t="s" s="17">
        <v>25</v>
      </c>
      <c r="C110" t="s" s="31">
        <v>90</v>
      </c>
      <c r="D110" t="s" s="32">
        <v>91</v>
      </c>
      <c r="E110" t="s" s="33">
        <v>76</v>
      </c>
      <c r="F110" t="s" s="21">
        <v>49</v>
      </c>
      <c r="G110" t="s" s="22">
        <v>46</v>
      </c>
      <c r="H110" s="23">
        <v>0</v>
      </c>
      <c r="I110" s="24">
        <v>11486</v>
      </c>
      <c r="J110" s="24">
        <v>9857</v>
      </c>
      <c r="K110" s="24">
        <v>6291</v>
      </c>
      <c r="L110" s="24">
        <v>1546</v>
      </c>
      <c r="M110" s="24">
        <v>717</v>
      </c>
      <c r="N110" s="24">
        <v>717</v>
      </c>
      <c r="O110" s="24">
        <v>717</v>
      </c>
      <c r="P110" s="24">
        <v>717</v>
      </c>
      <c r="Q110" s="24">
        <v>717</v>
      </c>
      <c r="R110" s="24">
        <v>717</v>
      </c>
      <c r="S110" s="24">
        <v>10075</v>
      </c>
      <c r="T110" s="25">
        <v>1653</v>
      </c>
      <c r="U110" s="26">
        <f>SUM(H110:T110)</f>
        <v>45210</v>
      </c>
      <c r="V110" s="27">
        <v>22.5</v>
      </c>
      <c r="W110" s="28">
        <v>5</v>
      </c>
      <c r="X110" s="29">
        <f>SUM(V110,W110)</f>
        <v>27.5</v>
      </c>
      <c r="Y110" s="27">
        <f>X110*U110</f>
        <v>1243275</v>
      </c>
      <c r="Z110" s="29">
        <f>Y110*100/$Y$237</f>
        <v>0.847195057283016</v>
      </c>
      <c r="AA110" s="30"/>
      <c r="AB110" s="30"/>
      <c r="AC110" s="30"/>
      <c r="AD110" s="30"/>
      <c r="AE110" s="30"/>
      <c r="AF110" s="30"/>
      <c r="AG110" s="30"/>
      <c r="AH110" s="30">
        <v>30</v>
      </c>
      <c r="AI110" s="30">
        <v>30</v>
      </c>
      <c r="AJ110" s="30">
        <v>30</v>
      </c>
      <c r="AK110" s="30">
        <v>10</v>
      </c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</row>
    <row r="111" ht="25.5" customHeight="1">
      <c r="A111" s="16"/>
      <c r="B111" t="s" s="17">
        <v>25</v>
      </c>
      <c r="C111" t="s" s="31">
        <v>90</v>
      </c>
      <c r="D111" t="s" s="32">
        <v>91</v>
      </c>
      <c r="E111" t="s" s="33">
        <v>76</v>
      </c>
      <c r="F111" t="s" s="21">
        <v>50</v>
      </c>
      <c r="G111" t="s" s="22">
        <v>46</v>
      </c>
      <c r="H111" s="23">
        <v>0</v>
      </c>
      <c r="I111" s="24">
        <v>2686</v>
      </c>
      <c r="J111" s="24">
        <v>4808</v>
      </c>
      <c r="K111" s="24">
        <v>6003</v>
      </c>
      <c r="L111" s="24">
        <v>219</v>
      </c>
      <c r="M111" s="24">
        <v>95</v>
      </c>
      <c r="N111" s="24">
        <v>95</v>
      </c>
      <c r="O111" s="24">
        <v>95</v>
      </c>
      <c r="P111" s="24">
        <v>95</v>
      </c>
      <c r="Q111" s="24">
        <v>95</v>
      </c>
      <c r="R111" s="24">
        <v>95</v>
      </c>
      <c r="S111" s="24">
        <v>34450</v>
      </c>
      <c r="T111" s="25">
        <v>2212</v>
      </c>
      <c r="U111" s="26">
        <f>SUM(H111:T111)</f>
        <v>50948</v>
      </c>
      <c r="V111" s="27">
        <v>22</v>
      </c>
      <c r="W111" s="28">
        <v>5</v>
      </c>
      <c r="X111" s="29">
        <f>SUM(V111,W111)</f>
        <v>27</v>
      </c>
      <c r="Y111" s="27">
        <f>X111*U111</f>
        <v>1375596</v>
      </c>
      <c r="Z111" s="29">
        <f>Y111*100/$Y$237</f>
        <v>0.937361510541343</v>
      </c>
      <c r="AA111" s="30"/>
      <c r="AB111" s="30"/>
      <c r="AC111" s="30"/>
      <c r="AD111" s="30"/>
      <c r="AE111" s="30"/>
      <c r="AF111" s="30"/>
      <c r="AG111" s="30"/>
      <c r="AH111" s="30">
        <v>30</v>
      </c>
      <c r="AI111" s="30">
        <v>30</v>
      </c>
      <c r="AJ111" s="30">
        <v>30</v>
      </c>
      <c r="AK111" s="30">
        <v>10</v>
      </c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</row>
    <row r="112" ht="25.5" customHeight="1">
      <c r="A112" s="16"/>
      <c r="B112" t="s" s="17">
        <v>25</v>
      </c>
      <c r="C112" t="s" s="31">
        <v>90</v>
      </c>
      <c r="D112" t="s" s="32">
        <v>91</v>
      </c>
      <c r="E112" t="s" s="33">
        <v>76</v>
      </c>
      <c r="F112" t="s" s="21">
        <v>82</v>
      </c>
      <c r="G112" t="s" s="22">
        <v>46</v>
      </c>
      <c r="H112" s="23">
        <v>0</v>
      </c>
      <c r="I112" s="24">
        <v>2140</v>
      </c>
      <c r="J112" s="24">
        <v>7576</v>
      </c>
      <c r="K112" s="24">
        <v>1390</v>
      </c>
      <c r="L112" s="24">
        <v>495</v>
      </c>
      <c r="M112" s="24">
        <v>402</v>
      </c>
      <c r="N112" s="24">
        <v>402</v>
      </c>
      <c r="O112" s="24">
        <v>402</v>
      </c>
      <c r="P112" s="24">
        <v>402</v>
      </c>
      <c r="Q112" s="24">
        <v>402</v>
      </c>
      <c r="R112" s="24">
        <v>402</v>
      </c>
      <c r="S112" s="24">
        <v>14862</v>
      </c>
      <c r="T112" s="25">
        <v>0</v>
      </c>
      <c r="U112" s="26">
        <f>SUM(H112:T112)</f>
        <v>28875</v>
      </c>
      <c r="V112" s="27">
        <v>22</v>
      </c>
      <c r="W112" s="28">
        <v>4.5</v>
      </c>
      <c r="X112" s="29">
        <f>SUM(V112,W112)</f>
        <v>26.5</v>
      </c>
      <c r="Y112" s="27">
        <f>X112*U112</f>
        <v>765187.5</v>
      </c>
      <c r="Z112" s="29">
        <f>Y112*100/$Y$237</f>
        <v>0.521415670623754</v>
      </c>
      <c r="AA112" s="30"/>
      <c r="AB112" s="30"/>
      <c r="AC112" s="30"/>
      <c r="AD112" s="30"/>
      <c r="AE112" s="30"/>
      <c r="AF112" s="30"/>
      <c r="AG112" s="30"/>
      <c r="AH112" s="30">
        <v>30</v>
      </c>
      <c r="AI112" s="30">
        <v>30</v>
      </c>
      <c r="AJ112" s="30">
        <v>30</v>
      </c>
      <c r="AK112" s="30">
        <v>10</v>
      </c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</row>
    <row r="113" ht="25.5" customHeight="1">
      <c r="A113" s="16"/>
      <c r="B113" t="s" s="17">
        <v>25</v>
      </c>
      <c r="C113" t="s" s="31">
        <v>90</v>
      </c>
      <c r="D113" t="s" s="32">
        <v>91</v>
      </c>
      <c r="E113" t="s" s="33">
        <v>76</v>
      </c>
      <c r="F113" t="s" s="21">
        <v>83</v>
      </c>
      <c r="G113" t="s" s="22">
        <v>46</v>
      </c>
      <c r="H113" s="23">
        <v>0</v>
      </c>
      <c r="I113" s="24">
        <v>12347</v>
      </c>
      <c r="J113" s="24">
        <v>11510</v>
      </c>
      <c r="K113" s="24">
        <v>8402</v>
      </c>
      <c r="L113" s="24">
        <v>1030</v>
      </c>
      <c r="M113" s="24">
        <v>737</v>
      </c>
      <c r="N113" s="24">
        <v>737</v>
      </c>
      <c r="O113" s="24">
        <v>737</v>
      </c>
      <c r="P113" s="24">
        <v>737</v>
      </c>
      <c r="Q113" s="24">
        <v>737</v>
      </c>
      <c r="R113" s="24">
        <v>737</v>
      </c>
      <c r="S113" s="24">
        <v>45623</v>
      </c>
      <c r="T113" s="25">
        <v>0</v>
      </c>
      <c r="U113" s="26">
        <f>SUM(H113:T113)</f>
        <v>83334</v>
      </c>
      <c r="V113" s="27">
        <v>22</v>
      </c>
      <c r="W113" s="28">
        <v>4.5</v>
      </c>
      <c r="X113" s="29">
        <f>SUM(V113,W113)</f>
        <v>26.5</v>
      </c>
      <c r="Y113" s="27">
        <f>X113*U113</f>
        <v>2208351</v>
      </c>
      <c r="Z113" s="29">
        <f>Y113*100/$Y$237</f>
        <v>1.50481916868433</v>
      </c>
      <c r="AA113" s="30"/>
      <c r="AB113" s="30"/>
      <c r="AC113" s="30"/>
      <c r="AD113" s="30"/>
      <c r="AE113" s="30"/>
      <c r="AF113" s="30"/>
      <c r="AG113" s="30"/>
      <c r="AH113" s="30">
        <v>30</v>
      </c>
      <c r="AI113" s="30">
        <v>30</v>
      </c>
      <c r="AJ113" s="30">
        <v>30</v>
      </c>
      <c r="AK113" s="30">
        <v>10</v>
      </c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</row>
    <row r="114" ht="25.5" customHeight="1">
      <c r="A114" s="16"/>
      <c r="B114" t="s" s="17">
        <v>25</v>
      </c>
      <c r="C114" t="s" s="31">
        <v>90</v>
      </c>
      <c r="D114" t="s" s="32">
        <v>91</v>
      </c>
      <c r="E114" t="s" s="33">
        <v>76</v>
      </c>
      <c r="F114" t="s" s="21">
        <v>84</v>
      </c>
      <c r="G114" t="s" s="22">
        <v>46</v>
      </c>
      <c r="H114" s="23">
        <v>0</v>
      </c>
      <c r="I114" s="24">
        <v>8787</v>
      </c>
      <c r="J114" s="24">
        <v>0</v>
      </c>
      <c r="K114" s="24">
        <v>21977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19444</v>
      </c>
      <c r="T114" s="25">
        <v>0</v>
      </c>
      <c r="U114" s="26">
        <f>SUM(H114:T114)</f>
        <v>50208</v>
      </c>
      <c r="V114" s="27">
        <v>22</v>
      </c>
      <c r="W114" s="28">
        <v>4.5</v>
      </c>
      <c r="X114" s="29">
        <f>SUM(V114,W114)</f>
        <v>26.5</v>
      </c>
      <c r="Y114" s="27">
        <f>X114*U114</f>
        <v>1330512</v>
      </c>
      <c r="Z114" s="29">
        <f>Y114*100/$Y$237</f>
        <v>0.906640276733418</v>
      </c>
      <c r="AA114" s="30"/>
      <c r="AB114" s="30"/>
      <c r="AC114" s="30"/>
      <c r="AD114" s="30"/>
      <c r="AE114" s="30"/>
      <c r="AF114" s="30"/>
      <c r="AG114" s="30"/>
      <c r="AH114" s="30">
        <v>30</v>
      </c>
      <c r="AI114" s="30">
        <v>30</v>
      </c>
      <c r="AJ114" s="30">
        <v>30</v>
      </c>
      <c r="AK114" s="30">
        <v>10</v>
      </c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</row>
    <row r="115" ht="25.5" customHeight="1">
      <c r="A115" s="16"/>
      <c r="B115" t="s" s="17">
        <v>25</v>
      </c>
      <c r="C115" t="s" s="31">
        <v>90</v>
      </c>
      <c r="D115" t="s" s="32">
        <v>91</v>
      </c>
      <c r="E115" t="s" s="33">
        <v>76</v>
      </c>
      <c r="F115" t="s" s="21">
        <v>54</v>
      </c>
      <c r="G115" t="s" s="22">
        <v>46</v>
      </c>
      <c r="H115" s="23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5">
        <v>0</v>
      </c>
      <c r="U115" s="26">
        <f>SUM(H115:T115)</f>
        <v>0</v>
      </c>
      <c r="V115" s="27">
        <v>22.5</v>
      </c>
      <c r="W115" s="28">
        <v>4.5</v>
      </c>
      <c r="X115" s="29">
        <f>SUM(V115,W115)</f>
        <v>27</v>
      </c>
      <c r="Y115" s="27">
        <f>X115*U115</f>
        <v>0</v>
      </c>
      <c r="Z115" s="29">
        <f>Y115*100/$Y$237</f>
        <v>0</v>
      </c>
      <c r="AA115" s="30"/>
      <c r="AB115" s="30"/>
      <c r="AC115" s="30"/>
      <c r="AD115" s="30"/>
      <c r="AE115" s="30"/>
      <c r="AF115" s="30"/>
      <c r="AG115" s="30"/>
      <c r="AH115" s="30">
        <v>30</v>
      </c>
      <c r="AI115" s="30">
        <v>30</v>
      </c>
      <c r="AJ115" s="30">
        <v>30</v>
      </c>
      <c r="AK115" s="30">
        <v>10</v>
      </c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</row>
    <row r="116" ht="25.5" customHeight="1">
      <c r="A116" s="16"/>
      <c r="B116" t="s" s="17">
        <v>25</v>
      </c>
      <c r="C116" t="s" s="31">
        <v>90</v>
      </c>
      <c r="D116" t="s" s="32">
        <v>91</v>
      </c>
      <c r="E116" t="s" s="46">
        <v>93</v>
      </c>
      <c r="F116" t="s" s="21">
        <v>43</v>
      </c>
      <c r="G116" t="s" s="22">
        <v>36</v>
      </c>
      <c r="H116" s="47">
        <v>0</v>
      </c>
      <c r="I116" s="48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5">
        <v>0</v>
      </c>
      <c r="U116" s="26">
        <f>SUM(H116:T116)</f>
        <v>0</v>
      </c>
      <c r="V116" s="27">
        <v>0</v>
      </c>
      <c r="W116" s="28">
        <v>0</v>
      </c>
      <c r="X116" s="29">
        <f>SUM(V116,W116)</f>
        <v>0</v>
      </c>
      <c r="Y116" s="27">
        <f>X116*U116</f>
        <v>0</v>
      </c>
      <c r="Z116" s="29">
        <f>Y116*100/$Y$237</f>
        <v>0</v>
      </c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</row>
    <row r="117" ht="25.5" customHeight="1">
      <c r="A117" s="16"/>
      <c r="B117" t="s" s="17">
        <v>25</v>
      </c>
      <c r="C117" t="s" s="31">
        <v>90</v>
      </c>
      <c r="D117" t="s" s="32">
        <v>91</v>
      </c>
      <c r="E117" t="s" s="46">
        <v>93</v>
      </c>
      <c r="F117" t="s" s="21">
        <v>44</v>
      </c>
      <c r="G117" t="s" s="22">
        <v>40</v>
      </c>
      <c r="H117" s="47">
        <v>0</v>
      </c>
      <c r="I117" s="48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5">
        <v>0</v>
      </c>
      <c r="U117" s="26">
        <f>SUM(H117:T117)</f>
        <v>0</v>
      </c>
      <c r="V117" s="27">
        <v>0</v>
      </c>
      <c r="W117" s="28">
        <v>0</v>
      </c>
      <c r="X117" s="29">
        <f>SUM(V117,W117)</f>
        <v>0</v>
      </c>
      <c r="Y117" s="27">
        <f>X117*U117</f>
        <v>0</v>
      </c>
      <c r="Z117" s="29">
        <f>Y117*100/$Y$237</f>
        <v>0</v>
      </c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</row>
    <row r="118" ht="25.5" customHeight="1">
      <c r="A118" s="16"/>
      <c r="B118" t="s" s="17">
        <v>25</v>
      </c>
      <c r="C118" t="s" s="31">
        <v>90</v>
      </c>
      <c r="D118" t="s" s="32">
        <v>91</v>
      </c>
      <c r="E118" t="s" s="46">
        <v>93</v>
      </c>
      <c r="F118" t="s" s="21">
        <v>45</v>
      </c>
      <c r="G118" t="s" s="22">
        <v>46</v>
      </c>
      <c r="H118" s="47">
        <v>0</v>
      </c>
      <c r="I118" s="48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5">
        <v>0</v>
      </c>
      <c r="U118" s="26">
        <f>SUM(H118:T118)</f>
        <v>0</v>
      </c>
      <c r="V118" s="27">
        <v>24</v>
      </c>
      <c r="W118" s="28">
        <v>5.5</v>
      </c>
      <c r="X118" s="29">
        <f>SUM(V118,W118)</f>
        <v>29.5</v>
      </c>
      <c r="Y118" s="27">
        <f>X118*U118</f>
        <v>0</v>
      </c>
      <c r="Z118" s="29">
        <f>Y118*100/$Y$237</f>
        <v>0</v>
      </c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</row>
    <row r="119" ht="25.5" customHeight="1">
      <c r="A119" s="16"/>
      <c r="B119" t="s" s="17">
        <v>25</v>
      </c>
      <c r="C119" t="s" s="31">
        <v>90</v>
      </c>
      <c r="D119" t="s" s="32">
        <v>91</v>
      </c>
      <c r="E119" t="s" s="46">
        <v>93</v>
      </c>
      <c r="F119" t="s" s="21">
        <v>47</v>
      </c>
      <c r="G119" t="s" s="22">
        <v>46</v>
      </c>
      <c r="H119" s="47">
        <v>0</v>
      </c>
      <c r="I119" s="48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5">
        <v>0</v>
      </c>
      <c r="U119" s="26">
        <f>SUM(H119:T119)</f>
        <v>0</v>
      </c>
      <c r="V119" s="27">
        <v>23</v>
      </c>
      <c r="W119" s="28">
        <v>5.5</v>
      </c>
      <c r="X119" s="29">
        <f>SUM(V119,W119)</f>
        <v>28.5</v>
      </c>
      <c r="Y119" s="27">
        <f>X119*U119</f>
        <v>0</v>
      </c>
      <c r="Z119" s="29">
        <f>Y119*100/$Y$237</f>
        <v>0</v>
      </c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</row>
    <row r="120" ht="25.5" customHeight="1">
      <c r="A120" s="16"/>
      <c r="B120" t="s" s="17">
        <v>25</v>
      </c>
      <c r="C120" t="s" s="31">
        <v>90</v>
      </c>
      <c r="D120" t="s" s="32">
        <v>91</v>
      </c>
      <c r="E120" t="s" s="46">
        <v>93</v>
      </c>
      <c r="F120" t="s" s="21">
        <v>48</v>
      </c>
      <c r="G120" t="s" s="22">
        <v>46</v>
      </c>
      <c r="H120" s="47">
        <v>0</v>
      </c>
      <c r="I120" s="48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5">
        <v>0</v>
      </c>
      <c r="U120" s="26">
        <f>SUM(H120:T120)</f>
        <v>0</v>
      </c>
      <c r="V120" s="27">
        <v>23</v>
      </c>
      <c r="W120" s="28">
        <v>5.5</v>
      </c>
      <c r="X120" s="29">
        <f>SUM(V120,W120)</f>
        <v>28.5</v>
      </c>
      <c r="Y120" s="27">
        <f>X120*U120</f>
        <v>0</v>
      </c>
      <c r="Z120" s="29">
        <f>Y120*100/$Y$237</f>
        <v>0</v>
      </c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</row>
    <row r="121" ht="25.5" customHeight="1">
      <c r="A121" s="16"/>
      <c r="B121" t="s" s="17">
        <v>25</v>
      </c>
      <c r="C121" t="s" s="31">
        <v>90</v>
      </c>
      <c r="D121" t="s" s="32">
        <v>91</v>
      </c>
      <c r="E121" t="s" s="46">
        <v>93</v>
      </c>
      <c r="F121" t="s" s="21">
        <v>49</v>
      </c>
      <c r="G121" t="s" s="22">
        <v>46</v>
      </c>
      <c r="H121" s="47">
        <v>0</v>
      </c>
      <c r="I121" s="48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5">
        <v>0</v>
      </c>
      <c r="U121" s="26">
        <f>SUM(H121:T121)</f>
        <v>0</v>
      </c>
      <c r="V121" s="27">
        <v>22.5</v>
      </c>
      <c r="W121" s="28">
        <v>5</v>
      </c>
      <c r="X121" s="29">
        <f>SUM(V121,W121)</f>
        <v>27.5</v>
      </c>
      <c r="Y121" s="27">
        <f>X121*U121</f>
        <v>0</v>
      </c>
      <c r="Z121" s="29">
        <f>Y121*100/$Y$237</f>
        <v>0</v>
      </c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</row>
    <row r="122" ht="25.5" customHeight="1">
      <c r="A122" s="16"/>
      <c r="B122" t="s" s="17">
        <v>25</v>
      </c>
      <c r="C122" t="s" s="31">
        <v>90</v>
      </c>
      <c r="D122" t="s" s="32">
        <v>91</v>
      </c>
      <c r="E122" t="s" s="46">
        <v>93</v>
      </c>
      <c r="F122" t="s" s="21">
        <v>50</v>
      </c>
      <c r="G122" t="s" s="22">
        <v>46</v>
      </c>
      <c r="H122" s="47">
        <v>0</v>
      </c>
      <c r="I122" s="48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5">
        <v>0</v>
      </c>
      <c r="U122" s="26">
        <f>SUM(H122:T122)</f>
        <v>0</v>
      </c>
      <c r="V122" s="27">
        <v>22</v>
      </c>
      <c r="W122" s="28">
        <v>5</v>
      </c>
      <c r="X122" s="29">
        <f>SUM(V122,W122)</f>
        <v>27</v>
      </c>
      <c r="Y122" s="27">
        <f>X122*U122</f>
        <v>0</v>
      </c>
      <c r="Z122" s="29">
        <f>Y122*100/$Y$237</f>
        <v>0</v>
      </c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</row>
    <row r="123" ht="25.5" customHeight="1">
      <c r="A123" s="16"/>
      <c r="B123" t="s" s="17">
        <v>25</v>
      </c>
      <c r="C123" t="s" s="31">
        <v>90</v>
      </c>
      <c r="D123" t="s" s="32">
        <v>91</v>
      </c>
      <c r="E123" t="s" s="46">
        <v>93</v>
      </c>
      <c r="F123" t="s" s="21">
        <v>82</v>
      </c>
      <c r="G123" t="s" s="22">
        <v>46</v>
      </c>
      <c r="H123" s="47">
        <v>0</v>
      </c>
      <c r="I123" s="48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5">
        <v>0</v>
      </c>
      <c r="U123" s="26">
        <f>SUM(H123:T123)</f>
        <v>0</v>
      </c>
      <c r="V123" s="27">
        <v>22</v>
      </c>
      <c r="W123" s="28">
        <v>4.5</v>
      </c>
      <c r="X123" s="29">
        <f>SUM(V123,W123)</f>
        <v>26.5</v>
      </c>
      <c r="Y123" s="27">
        <f>X123*U123</f>
        <v>0</v>
      </c>
      <c r="Z123" s="29">
        <f>Y123*100/$Y$237</f>
        <v>0</v>
      </c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</row>
    <row r="124" ht="25.5" customHeight="1">
      <c r="A124" s="16"/>
      <c r="B124" t="s" s="17">
        <v>25</v>
      </c>
      <c r="C124" t="s" s="31">
        <v>90</v>
      </c>
      <c r="D124" t="s" s="32">
        <v>91</v>
      </c>
      <c r="E124" t="s" s="46">
        <v>93</v>
      </c>
      <c r="F124" t="s" s="21">
        <v>83</v>
      </c>
      <c r="G124" t="s" s="22">
        <v>46</v>
      </c>
      <c r="H124" s="47">
        <v>0</v>
      </c>
      <c r="I124" s="48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5">
        <v>0</v>
      </c>
      <c r="U124" s="26">
        <f>SUM(H124:T124)</f>
        <v>0</v>
      </c>
      <c r="V124" s="27">
        <v>22</v>
      </c>
      <c r="W124" s="28">
        <v>4.5</v>
      </c>
      <c r="X124" s="29">
        <f>SUM(V124,W124)</f>
        <v>26.5</v>
      </c>
      <c r="Y124" s="27">
        <f>X124*U124</f>
        <v>0</v>
      </c>
      <c r="Z124" s="29">
        <f>Y124*100/$Y$237</f>
        <v>0</v>
      </c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</row>
    <row r="125" ht="25.5" customHeight="1">
      <c r="A125" s="16"/>
      <c r="B125" t="s" s="17">
        <v>25</v>
      </c>
      <c r="C125" t="s" s="31">
        <v>90</v>
      </c>
      <c r="D125" t="s" s="32">
        <v>91</v>
      </c>
      <c r="E125" t="s" s="46">
        <v>93</v>
      </c>
      <c r="F125" t="s" s="21">
        <v>84</v>
      </c>
      <c r="G125" t="s" s="22">
        <v>46</v>
      </c>
      <c r="H125" s="47">
        <v>0</v>
      </c>
      <c r="I125" s="48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5">
        <v>0</v>
      </c>
      <c r="U125" s="26">
        <f>SUM(H125:T125)</f>
        <v>0</v>
      </c>
      <c r="V125" s="27">
        <v>22</v>
      </c>
      <c r="W125" s="28">
        <v>4.5</v>
      </c>
      <c r="X125" s="29">
        <f>SUM(V125,W125)</f>
        <v>26.5</v>
      </c>
      <c r="Y125" s="27">
        <f>X125*U125</f>
        <v>0</v>
      </c>
      <c r="Z125" s="29">
        <f>Y125*100/$Y$237</f>
        <v>0</v>
      </c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</row>
    <row r="126" ht="25.5" customHeight="1">
      <c r="A126" s="16"/>
      <c r="B126" t="s" s="17">
        <v>25</v>
      </c>
      <c r="C126" t="s" s="31">
        <v>90</v>
      </c>
      <c r="D126" t="s" s="32">
        <v>91</v>
      </c>
      <c r="E126" t="s" s="46">
        <v>93</v>
      </c>
      <c r="F126" t="s" s="21">
        <v>54</v>
      </c>
      <c r="G126" t="s" s="22">
        <v>46</v>
      </c>
      <c r="H126" s="47">
        <v>0</v>
      </c>
      <c r="I126" s="48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5">
        <v>0</v>
      </c>
      <c r="U126" s="26">
        <f>SUM(H126:T126)</f>
        <v>0</v>
      </c>
      <c r="V126" s="27">
        <v>22.5</v>
      </c>
      <c r="W126" s="28">
        <v>4.5</v>
      </c>
      <c r="X126" s="29">
        <f>SUM(V126,W126)</f>
        <v>27</v>
      </c>
      <c r="Y126" s="27">
        <f>X126*U126</f>
        <v>0</v>
      </c>
      <c r="Z126" s="29">
        <f>Y126*100/$Y$237</f>
        <v>0</v>
      </c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</row>
    <row r="127" ht="25.5" customHeight="1">
      <c r="A127" s="16"/>
      <c r="B127" t="s" s="17">
        <v>25</v>
      </c>
      <c r="C127" t="s" s="31">
        <v>90</v>
      </c>
      <c r="D127" t="s" s="32">
        <v>94</v>
      </c>
      <c r="E127" t="s" s="33">
        <v>95</v>
      </c>
      <c r="F127" t="s" s="21">
        <v>77</v>
      </c>
      <c r="G127" t="s" s="22">
        <v>36</v>
      </c>
      <c r="H127" s="27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9">
        <v>0</v>
      </c>
      <c r="U127" s="26">
        <f>SUM(H127:T127)</f>
        <v>0</v>
      </c>
      <c r="V127" s="27">
        <v>0</v>
      </c>
      <c r="W127" s="28">
        <v>115</v>
      </c>
      <c r="X127" s="29">
        <f>SUM(V127,W127)</f>
        <v>115</v>
      </c>
      <c r="Y127" s="27">
        <f>X127*U127</f>
        <v>0</v>
      </c>
      <c r="Z127" s="29">
        <f>Y127*100/$Y$237</f>
        <v>0</v>
      </c>
      <c r="AA127" s="30"/>
      <c r="AB127" s="30"/>
      <c r="AC127" s="30"/>
      <c r="AD127" s="30"/>
      <c r="AE127" s="30"/>
      <c r="AF127" s="30"/>
      <c r="AG127" s="30"/>
      <c r="AH127" s="30"/>
      <c r="AI127" s="30">
        <v>10</v>
      </c>
      <c r="AJ127" s="30">
        <v>20</v>
      </c>
      <c r="AK127" s="30">
        <v>40</v>
      </c>
      <c r="AL127" s="27">
        <v>30</v>
      </c>
      <c r="AM127" s="29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</row>
    <row r="128" ht="25.5" customHeight="1">
      <c r="A128" s="16"/>
      <c r="B128" t="s" s="17">
        <v>25</v>
      </c>
      <c r="C128" t="s" s="31">
        <v>90</v>
      </c>
      <c r="D128" t="s" s="32">
        <v>94</v>
      </c>
      <c r="E128" t="s" s="33">
        <v>95</v>
      </c>
      <c r="F128" t="s" s="21">
        <v>78</v>
      </c>
      <c r="G128" t="s" s="22">
        <v>40</v>
      </c>
      <c r="H128" s="27">
        <v>0</v>
      </c>
      <c r="I128" s="28">
        <v>2002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9">
        <v>0</v>
      </c>
      <c r="U128" s="26">
        <f>SUM(H128:T128)</f>
        <v>2002</v>
      </c>
      <c r="V128" s="27">
        <v>0</v>
      </c>
      <c r="W128" s="28">
        <v>40</v>
      </c>
      <c r="X128" s="29">
        <f>SUM(V128,W128)</f>
        <v>40</v>
      </c>
      <c r="Y128" s="27">
        <f>X128*U128</f>
        <v>80080</v>
      </c>
      <c r="Z128" s="29">
        <f>Y128*100/$Y$237</f>
        <v>0.0545682815042721</v>
      </c>
      <c r="AA128" s="30"/>
      <c r="AB128" s="30"/>
      <c r="AC128" s="30"/>
      <c r="AD128" s="30"/>
      <c r="AE128" s="30"/>
      <c r="AF128" s="30"/>
      <c r="AG128" s="30"/>
      <c r="AH128" s="30"/>
      <c r="AI128" s="30">
        <v>10</v>
      </c>
      <c r="AJ128" s="30">
        <v>20</v>
      </c>
      <c r="AK128" s="30">
        <v>40</v>
      </c>
      <c r="AL128" s="30">
        <v>30</v>
      </c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</row>
    <row r="129" ht="25.5" customHeight="1">
      <c r="A129" s="16"/>
      <c r="B129" t="s" s="17">
        <v>25</v>
      </c>
      <c r="C129" t="s" s="31">
        <v>90</v>
      </c>
      <c r="D129" t="s" s="32">
        <v>94</v>
      </c>
      <c r="E129" t="s" s="33">
        <v>95</v>
      </c>
      <c r="F129" t="s" s="21">
        <v>96</v>
      </c>
      <c r="G129" t="s" s="22">
        <v>40</v>
      </c>
      <c r="H129" s="27">
        <v>0</v>
      </c>
      <c r="I129" s="28">
        <v>2002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9">
        <v>0</v>
      </c>
      <c r="U129" s="26">
        <f>SUM(H129:T129)</f>
        <v>2002</v>
      </c>
      <c r="V129" s="27">
        <v>95</v>
      </c>
      <c r="W129" s="28">
        <v>15</v>
      </c>
      <c r="X129" s="29">
        <f>SUM(V129,W129)</f>
        <v>110</v>
      </c>
      <c r="Y129" s="27">
        <f>X129*U129</f>
        <v>220220</v>
      </c>
      <c r="Z129" s="29">
        <f>Y129*100/$Y$237</f>
        <v>0.150062774136748</v>
      </c>
      <c r="AA129" s="30"/>
      <c r="AB129" s="30"/>
      <c r="AC129" s="30"/>
      <c r="AD129" s="30"/>
      <c r="AE129" s="30"/>
      <c r="AF129" s="30"/>
      <c r="AG129" s="30"/>
      <c r="AH129" s="30"/>
      <c r="AI129" s="30">
        <v>10</v>
      </c>
      <c r="AJ129" s="30">
        <v>20</v>
      </c>
      <c r="AK129" s="30">
        <v>40</v>
      </c>
      <c r="AL129" s="27">
        <v>30</v>
      </c>
      <c r="AM129" s="29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</row>
    <row r="130" ht="25.5" customHeight="1">
      <c r="A130" s="16"/>
      <c r="B130" t="s" s="17">
        <v>25</v>
      </c>
      <c r="C130" t="s" s="31">
        <v>90</v>
      </c>
      <c r="D130" t="s" s="32">
        <v>94</v>
      </c>
      <c r="E130" t="s" s="33">
        <v>95</v>
      </c>
      <c r="F130" t="s" s="21">
        <v>97</v>
      </c>
      <c r="G130" t="s" s="22">
        <v>40</v>
      </c>
      <c r="H130" s="27">
        <v>0</v>
      </c>
      <c r="I130" s="28">
        <v>2002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9">
        <v>0</v>
      </c>
      <c r="U130" s="26">
        <f>SUM(H130:T130)</f>
        <v>2002</v>
      </c>
      <c r="V130" s="27">
        <v>165</v>
      </c>
      <c r="W130" s="28">
        <v>75</v>
      </c>
      <c r="X130" s="29">
        <f>SUM(V130,W130)</f>
        <v>240</v>
      </c>
      <c r="Y130" s="27">
        <f>X130*U130</f>
        <v>480480</v>
      </c>
      <c r="Z130" s="29">
        <f>Y130*100/$Y$237</f>
        <v>0.327409689025633</v>
      </c>
      <c r="AA130" s="30"/>
      <c r="AB130" s="30"/>
      <c r="AC130" s="30"/>
      <c r="AD130" s="30"/>
      <c r="AE130" s="30"/>
      <c r="AF130" s="30"/>
      <c r="AG130" s="30"/>
      <c r="AH130" s="30"/>
      <c r="AI130" s="30">
        <v>10</v>
      </c>
      <c r="AJ130" s="30">
        <v>20</v>
      </c>
      <c r="AK130" s="30">
        <v>40</v>
      </c>
      <c r="AL130" s="27">
        <v>30</v>
      </c>
      <c r="AM130" s="29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</row>
    <row r="131" ht="25.5" customHeight="1">
      <c r="A131" s="16"/>
      <c r="B131" t="s" s="17">
        <v>25</v>
      </c>
      <c r="C131" t="s" s="31">
        <v>90</v>
      </c>
      <c r="D131" t="s" s="32">
        <v>94</v>
      </c>
      <c r="E131" t="s" s="33">
        <v>95</v>
      </c>
      <c r="F131" t="s" s="21">
        <v>98</v>
      </c>
      <c r="G131" t="s" s="22">
        <v>40</v>
      </c>
      <c r="H131" s="27">
        <v>0</v>
      </c>
      <c r="I131" s="28">
        <v>2002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9">
        <v>0</v>
      </c>
      <c r="U131" s="26">
        <f>SUM(H131:T131)</f>
        <v>2002</v>
      </c>
      <c r="V131" s="27">
        <v>25</v>
      </c>
      <c r="W131" s="28">
        <v>10</v>
      </c>
      <c r="X131" s="29">
        <f>SUM(V131,W131)</f>
        <v>35</v>
      </c>
      <c r="Y131" s="27">
        <f>X131*U131</f>
        <v>70070</v>
      </c>
      <c r="Z131" s="29">
        <f>Y131*100/$Y$237</f>
        <v>0.0477472463162381</v>
      </c>
      <c r="AA131" s="30"/>
      <c r="AB131" s="30"/>
      <c r="AC131" s="30"/>
      <c r="AD131" s="30"/>
      <c r="AE131" s="30"/>
      <c r="AF131" s="30"/>
      <c r="AG131" s="30"/>
      <c r="AH131" s="30"/>
      <c r="AI131" s="30">
        <v>10</v>
      </c>
      <c r="AJ131" s="30">
        <v>20</v>
      </c>
      <c r="AK131" s="30">
        <v>40</v>
      </c>
      <c r="AL131" s="27">
        <v>30</v>
      </c>
      <c r="AM131" s="29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</row>
    <row r="132" ht="25.5" customHeight="1">
      <c r="A132" s="16"/>
      <c r="B132" t="s" s="17">
        <v>25</v>
      </c>
      <c r="C132" t="s" s="31">
        <v>90</v>
      </c>
      <c r="D132" t="s" s="32">
        <v>94</v>
      </c>
      <c r="E132" t="s" s="33">
        <v>95</v>
      </c>
      <c r="F132" t="s" s="21">
        <v>99</v>
      </c>
      <c r="G132" t="s" s="22">
        <v>36</v>
      </c>
      <c r="H132" s="27">
        <v>0</v>
      </c>
      <c r="I132" s="28">
        <v>406</v>
      </c>
      <c r="J132" s="28">
        <v>136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509</v>
      </c>
      <c r="T132" s="29">
        <v>64</v>
      </c>
      <c r="U132" s="26">
        <f>SUM(H132:T132)</f>
        <v>1115</v>
      </c>
      <c r="V132" s="27">
        <v>2060</v>
      </c>
      <c r="W132" s="28">
        <v>440</v>
      </c>
      <c r="X132" s="29">
        <f>SUM(V132,W132)</f>
        <v>2500</v>
      </c>
      <c r="Y132" s="27">
        <f>X132*U132</f>
        <v>2787500</v>
      </c>
      <c r="Z132" s="29">
        <f>Y132*100/$Y$237</f>
        <v>1.89946409456991</v>
      </c>
      <c r="AA132" s="30"/>
      <c r="AB132" s="30"/>
      <c r="AC132" s="30"/>
      <c r="AD132" s="30"/>
      <c r="AE132" s="30"/>
      <c r="AF132" s="30"/>
      <c r="AG132" s="30"/>
      <c r="AH132" s="30"/>
      <c r="AI132" s="30">
        <v>10</v>
      </c>
      <c r="AJ132" s="30">
        <v>20</v>
      </c>
      <c r="AK132" s="30">
        <v>40</v>
      </c>
      <c r="AL132" s="27">
        <v>30</v>
      </c>
      <c r="AM132" s="29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</row>
    <row r="133" ht="25.5" customHeight="1">
      <c r="A133" s="16"/>
      <c r="B133" t="s" s="17">
        <v>25</v>
      </c>
      <c r="C133" t="s" s="31">
        <v>90</v>
      </c>
      <c r="D133" t="s" s="32">
        <v>94</v>
      </c>
      <c r="E133" t="s" s="33">
        <v>95</v>
      </c>
      <c r="F133" t="s" s="21">
        <v>44</v>
      </c>
      <c r="G133" t="s" s="22">
        <v>40</v>
      </c>
      <c r="H133" s="27">
        <v>0</v>
      </c>
      <c r="I133" s="28">
        <v>412</v>
      </c>
      <c r="J133" s="28">
        <v>882</v>
      </c>
      <c r="K133" s="28">
        <v>310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1722</v>
      </c>
      <c r="T133" s="29">
        <v>289</v>
      </c>
      <c r="U133" s="26">
        <f>SUM(H133:T133)</f>
        <v>3615</v>
      </c>
      <c r="V133" s="27">
        <v>350</v>
      </c>
      <c r="W133" s="28">
        <v>220</v>
      </c>
      <c r="X133" s="29">
        <f>SUM(V133,W133)</f>
        <v>570</v>
      </c>
      <c r="Y133" s="27">
        <f>X133*U133</f>
        <v>2060550</v>
      </c>
      <c r="Z133" s="29">
        <f>Y133*100/$Y$237</f>
        <v>1.40410430136898</v>
      </c>
      <c r="AA133" s="30"/>
      <c r="AB133" s="30"/>
      <c r="AC133" s="30"/>
      <c r="AD133" s="30"/>
      <c r="AE133" s="30"/>
      <c r="AF133" s="30"/>
      <c r="AG133" s="30"/>
      <c r="AH133" s="30"/>
      <c r="AI133" s="30">
        <v>10</v>
      </c>
      <c r="AJ133" s="30">
        <v>20</v>
      </c>
      <c r="AK133" s="30">
        <v>40</v>
      </c>
      <c r="AL133" s="27">
        <v>30</v>
      </c>
      <c r="AM133" s="29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</row>
    <row r="134" ht="25.5" customHeight="1">
      <c r="A134" s="16"/>
      <c r="B134" t="s" s="17">
        <v>25</v>
      </c>
      <c r="C134" t="s" s="31">
        <v>90</v>
      </c>
      <c r="D134" t="s" s="32">
        <v>94</v>
      </c>
      <c r="E134" t="s" s="33">
        <v>95</v>
      </c>
      <c r="F134" t="s" s="21">
        <v>45</v>
      </c>
      <c r="G134" t="s" s="22">
        <v>46</v>
      </c>
      <c r="H134" s="27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9">
        <v>0</v>
      </c>
      <c r="U134" s="26">
        <f>SUM(H134:T134)</f>
        <v>0</v>
      </c>
      <c r="V134" s="27">
        <v>24</v>
      </c>
      <c r="W134" s="28">
        <v>5.5</v>
      </c>
      <c r="X134" s="29">
        <f>SUM(V134,W134)</f>
        <v>29.5</v>
      </c>
      <c r="Y134" s="27">
        <f>X134*U134</f>
        <v>0</v>
      </c>
      <c r="Z134" s="29">
        <f>Y134*100/$Y$237</f>
        <v>0</v>
      </c>
      <c r="AA134" s="30"/>
      <c r="AB134" s="30"/>
      <c r="AC134" s="30"/>
      <c r="AD134" s="30"/>
      <c r="AE134" s="30"/>
      <c r="AF134" s="30"/>
      <c r="AG134" s="30"/>
      <c r="AH134" s="30"/>
      <c r="AI134" s="30">
        <v>10</v>
      </c>
      <c r="AJ134" s="30">
        <v>20</v>
      </c>
      <c r="AK134" s="30">
        <v>40</v>
      </c>
      <c r="AL134" s="27">
        <v>30</v>
      </c>
      <c r="AM134" s="29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</row>
    <row r="135" ht="25.5" customHeight="1">
      <c r="A135" s="16"/>
      <c r="B135" t="s" s="17">
        <v>25</v>
      </c>
      <c r="C135" t="s" s="31">
        <v>90</v>
      </c>
      <c r="D135" t="s" s="32">
        <v>94</v>
      </c>
      <c r="E135" t="s" s="33">
        <v>95</v>
      </c>
      <c r="F135" t="s" s="21">
        <v>47</v>
      </c>
      <c r="G135" t="s" s="22">
        <v>46</v>
      </c>
      <c r="H135" s="27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9">
        <v>0</v>
      </c>
      <c r="U135" s="26">
        <f>SUM(H135:T135)</f>
        <v>0</v>
      </c>
      <c r="V135" s="27">
        <v>23</v>
      </c>
      <c r="W135" s="28">
        <v>5.5</v>
      </c>
      <c r="X135" s="29">
        <f>SUM(V135,W135)</f>
        <v>28.5</v>
      </c>
      <c r="Y135" s="27">
        <f>X135*U135</f>
        <v>0</v>
      </c>
      <c r="Z135" s="29">
        <f>Y135*100/$Y$237</f>
        <v>0</v>
      </c>
      <c r="AA135" s="30"/>
      <c r="AB135" s="30"/>
      <c r="AC135" s="30"/>
      <c r="AD135" s="30"/>
      <c r="AE135" s="30"/>
      <c r="AF135" s="30"/>
      <c r="AG135" s="30"/>
      <c r="AH135" s="30"/>
      <c r="AI135" s="30">
        <v>10</v>
      </c>
      <c r="AJ135" s="30">
        <v>20</v>
      </c>
      <c r="AK135" s="30">
        <v>40</v>
      </c>
      <c r="AL135" s="27">
        <v>30</v>
      </c>
      <c r="AM135" s="29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</row>
    <row r="136" ht="25.5" customHeight="1">
      <c r="A136" s="16"/>
      <c r="B136" t="s" s="17">
        <v>25</v>
      </c>
      <c r="C136" t="s" s="31">
        <v>90</v>
      </c>
      <c r="D136" t="s" s="32">
        <v>94</v>
      </c>
      <c r="E136" t="s" s="33">
        <v>95</v>
      </c>
      <c r="F136" t="s" s="21">
        <v>48</v>
      </c>
      <c r="G136" t="s" s="22">
        <v>46</v>
      </c>
      <c r="H136" s="27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9">
        <v>0</v>
      </c>
      <c r="U136" s="26">
        <f>SUM(H136:T136)</f>
        <v>0</v>
      </c>
      <c r="V136" s="27">
        <v>23</v>
      </c>
      <c r="W136" s="28">
        <v>5.5</v>
      </c>
      <c r="X136" s="29">
        <f>SUM(V136,W136)</f>
        <v>28.5</v>
      </c>
      <c r="Y136" s="27">
        <f>X136*U136</f>
        <v>0</v>
      </c>
      <c r="Z136" s="29">
        <f>Y136*100/$Y$237</f>
        <v>0</v>
      </c>
      <c r="AA136" s="30"/>
      <c r="AB136" s="30"/>
      <c r="AC136" s="30"/>
      <c r="AD136" s="30"/>
      <c r="AE136" s="30"/>
      <c r="AF136" s="30"/>
      <c r="AG136" s="30"/>
      <c r="AH136" s="30"/>
      <c r="AI136" s="30">
        <v>10</v>
      </c>
      <c r="AJ136" s="30">
        <v>20</v>
      </c>
      <c r="AK136" s="30">
        <v>40</v>
      </c>
      <c r="AL136" s="27">
        <v>30</v>
      </c>
      <c r="AM136" s="29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</row>
    <row r="137" ht="25.5" customHeight="1">
      <c r="A137" s="16"/>
      <c r="B137" t="s" s="17">
        <v>25</v>
      </c>
      <c r="C137" t="s" s="31">
        <v>90</v>
      </c>
      <c r="D137" t="s" s="32">
        <v>94</v>
      </c>
      <c r="E137" t="s" s="33">
        <v>95</v>
      </c>
      <c r="F137" t="s" s="21">
        <v>49</v>
      </c>
      <c r="G137" t="s" s="22">
        <v>46</v>
      </c>
      <c r="H137" s="27">
        <v>0</v>
      </c>
      <c r="I137" s="28">
        <v>12923</v>
      </c>
      <c r="J137" s="28">
        <v>8563</v>
      </c>
      <c r="K137" s="28">
        <v>5132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2421</v>
      </c>
      <c r="T137" s="29">
        <v>6206</v>
      </c>
      <c r="U137" s="26">
        <f>SUM(H137:T137)</f>
        <v>35245</v>
      </c>
      <c r="V137" s="27">
        <v>22.5</v>
      </c>
      <c r="W137" s="28">
        <v>5</v>
      </c>
      <c r="X137" s="29">
        <f>SUM(V137,W137)</f>
        <v>27.5</v>
      </c>
      <c r="Y137" s="27">
        <f>X137*U137</f>
        <v>969237.5</v>
      </c>
      <c r="Z137" s="29">
        <f>Y137*100/$Y$237</f>
        <v>0.660459849456755</v>
      </c>
      <c r="AA137" s="30"/>
      <c r="AB137" s="30"/>
      <c r="AC137" s="30"/>
      <c r="AD137" s="30"/>
      <c r="AE137" s="30"/>
      <c r="AF137" s="30"/>
      <c r="AG137" s="30"/>
      <c r="AH137" s="30"/>
      <c r="AI137" s="30">
        <v>10</v>
      </c>
      <c r="AJ137" s="30">
        <v>20</v>
      </c>
      <c r="AK137" s="30">
        <v>40</v>
      </c>
      <c r="AL137" s="27">
        <v>30</v>
      </c>
      <c r="AM137" s="29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</row>
    <row r="138" ht="25.5" customHeight="1">
      <c r="A138" s="16"/>
      <c r="B138" t="s" s="17">
        <v>25</v>
      </c>
      <c r="C138" t="s" s="31">
        <v>90</v>
      </c>
      <c r="D138" t="s" s="32">
        <v>94</v>
      </c>
      <c r="E138" t="s" s="33">
        <v>95</v>
      </c>
      <c r="F138" t="s" s="21">
        <v>50</v>
      </c>
      <c r="G138" t="s" s="22">
        <v>46</v>
      </c>
      <c r="H138" s="27">
        <v>0</v>
      </c>
      <c r="I138" s="28">
        <v>45956</v>
      </c>
      <c r="J138" s="28">
        <v>19539</v>
      </c>
      <c r="K138" s="28">
        <v>3158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62691</v>
      </c>
      <c r="T138" s="29">
        <v>336</v>
      </c>
      <c r="U138" s="26">
        <f>SUM(H138:T138)</f>
        <v>131680</v>
      </c>
      <c r="V138" s="27">
        <v>22</v>
      </c>
      <c r="W138" s="28">
        <v>5</v>
      </c>
      <c r="X138" s="29">
        <f>SUM(V138,W138)</f>
        <v>27</v>
      </c>
      <c r="Y138" s="27">
        <f>X138*U138</f>
        <v>3555360</v>
      </c>
      <c r="Z138" s="29">
        <f>Y138*100/$Y$237</f>
        <v>2.42270086574711</v>
      </c>
      <c r="AA138" s="30"/>
      <c r="AB138" s="30"/>
      <c r="AC138" s="30"/>
      <c r="AD138" s="30"/>
      <c r="AE138" s="30"/>
      <c r="AF138" s="30"/>
      <c r="AG138" s="30"/>
      <c r="AH138" s="30"/>
      <c r="AI138" s="30">
        <v>10</v>
      </c>
      <c r="AJ138" s="30">
        <v>20</v>
      </c>
      <c r="AK138" s="30">
        <v>40</v>
      </c>
      <c r="AL138" s="27">
        <v>30</v>
      </c>
      <c r="AM138" s="29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</row>
    <row r="139" ht="25.5" customHeight="1">
      <c r="A139" s="16"/>
      <c r="B139" t="s" s="17">
        <v>25</v>
      </c>
      <c r="C139" t="s" s="31">
        <v>90</v>
      </c>
      <c r="D139" t="s" s="32">
        <v>94</v>
      </c>
      <c r="E139" t="s" s="33">
        <v>95</v>
      </c>
      <c r="F139" t="s" s="21">
        <v>82</v>
      </c>
      <c r="G139" t="s" s="22">
        <v>46</v>
      </c>
      <c r="H139" s="27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1731</v>
      </c>
      <c r="T139" s="29">
        <v>0</v>
      </c>
      <c r="U139" s="26">
        <f>SUM(H139:T139)</f>
        <v>1731</v>
      </c>
      <c r="V139" s="27">
        <v>22</v>
      </c>
      <c r="W139" s="28">
        <v>4.5</v>
      </c>
      <c r="X139" s="29">
        <f>SUM(V139,W139)</f>
        <v>26.5</v>
      </c>
      <c r="Y139" s="27">
        <f>X139*U139</f>
        <v>45871.5</v>
      </c>
      <c r="Z139" s="29">
        <f>Y139*100/$Y$237</f>
        <v>0.0312578537090812</v>
      </c>
      <c r="AA139" s="30"/>
      <c r="AB139" s="30"/>
      <c r="AC139" s="30"/>
      <c r="AD139" s="30"/>
      <c r="AE139" s="30"/>
      <c r="AF139" s="30"/>
      <c r="AG139" s="30"/>
      <c r="AH139" s="30"/>
      <c r="AI139" s="30">
        <v>10</v>
      </c>
      <c r="AJ139" s="30">
        <v>20</v>
      </c>
      <c r="AK139" s="30">
        <v>40</v>
      </c>
      <c r="AL139" s="27">
        <v>30</v>
      </c>
      <c r="AM139" s="29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</row>
    <row r="140" ht="25.5" customHeight="1">
      <c r="A140" s="16"/>
      <c r="B140" t="s" s="17">
        <v>25</v>
      </c>
      <c r="C140" t="s" s="31">
        <v>90</v>
      </c>
      <c r="D140" t="s" s="32">
        <v>94</v>
      </c>
      <c r="E140" t="s" s="33">
        <v>95</v>
      </c>
      <c r="F140" t="s" s="21">
        <v>83</v>
      </c>
      <c r="G140" t="s" s="22">
        <v>46</v>
      </c>
      <c r="H140" s="27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4379</v>
      </c>
      <c r="T140" s="29">
        <v>0</v>
      </c>
      <c r="U140" s="26">
        <f>SUM(H140:T140)</f>
        <v>4379</v>
      </c>
      <c r="V140" s="27">
        <v>22</v>
      </c>
      <c r="W140" s="28">
        <v>4.5</v>
      </c>
      <c r="X140" s="29">
        <f>SUM(V140,W140)</f>
        <v>26.5</v>
      </c>
      <c r="Y140" s="27">
        <f>X140*U140</f>
        <v>116043.5</v>
      </c>
      <c r="Z140" s="29">
        <f>Y140*100/$Y$237</f>
        <v>0.0790746050791833</v>
      </c>
      <c r="AA140" s="30"/>
      <c r="AB140" s="30"/>
      <c r="AC140" s="30"/>
      <c r="AD140" s="30"/>
      <c r="AE140" s="30"/>
      <c r="AF140" s="30"/>
      <c r="AG140" s="30"/>
      <c r="AH140" s="30"/>
      <c r="AI140" s="30">
        <v>10</v>
      </c>
      <c r="AJ140" s="30">
        <v>20</v>
      </c>
      <c r="AK140" s="30">
        <v>40</v>
      </c>
      <c r="AL140" s="27">
        <v>30</v>
      </c>
      <c r="AM140" s="29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</row>
    <row r="141" ht="25.5" customHeight="1">
      <c r="A141" s="16"/>
      <c r="B141" t="s" s="17">
        <v>25</v>
      </c>
      <c r="C141" t="s" s="31">
        <v>90</v>
      </c>
      <c r="D141" t="s" s="32">
        <v>94</v>
      </c>
      <c r="E141" t="s" s="33">
        <v>95</v>
      </c>
      <c r="F141" t="s" s="21">
        <v>84</v>
      </c>
      <c r="G141" t="s" s="22">
        <v>46</v>
      </c>
      <c r="H141" s="27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9">
        <v>0</v>
      </c>
      <c r="U141" s="26">
        <f>SUM(H141:T141)</f>
        <v>0</v>
      </c>
      <c r="V141" s="27">
        <v>22</v>
      </c>
      <c r="W141" s="28">
        <v>4.5</v>
      </c>
      <c r="X141" s="29">
        <f>SUM(V141,W141)</f>
        <v>26.5</v>
      </c>
      <c r="Y141" s="27">
        <f>X141*U141</f>
        <v>0</v>
      </c>
      <c r="Z141" s="29">
        <f>Y141*100/$Y$237</f>
        <v>0</v>
      </c>
      <c r="AA141" s="30"/>
      <c r="AB141" s="30"/>
      <c r="AC141" s="30"/>
      <c r="AD141" s="30"/>
      <c r="AE141" s="30"/>
      <c r="AF141" s="30"/>
      <c r="AG141" s="30"/>
      <c r="AH141" s="30"/>
      <c r="AI141" s="30">
        <v>10</v>
      </c>
      <c r="AJ141" s="30">
        <v>20</v>
      </c>
      <c r="AK141" s="30">
        <v>40</v>
      </c>
      <c r="AL141" s="27">
        <v>30</v>
      </c>
      <c r="AM141" s="29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</row>
    <row r="142" ht="25.5" customHeight="1">
      <c r="A142" s="16"/>
      <c r="B142" t="s" s="17">
        <v>25</v>
      </c>
      <c r="C142" t="s" s="31">
        <v>90</v>
      </c>
      <c r="D142" t="s" s="32">
        <v>94</v>
      </c>
      <c r="E142" t="s" s="33">
        <v>95</v>
      </c>
      <c r="F142" t="s" s="21">
        <v>54</v>
      </c>
      <c r="G142" t="s" s="22">
        <v>46</v>
      </c>
      <c r="H142" s="27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9">
        <v>0</v>
      </c>
      <c r="U142" s="26">
        <f>SUM(H142:T142)</f>
        <v>0</v>
      </c>
      <c r="V142" s="27">
        <v>22.5</v>
      </c>
      <c r="W142" s="28">
        <v>4.5</v>
      </c>
      <c r="X142" s="29">
        <f>SUM(V142,W142)</f>
        <v>27</v>
      </c>
      <c r="Y142" s="27">
        <f>X142*U142</f>
        <v>0</v>
      </c>
      <c r="Z142" s="29">
        <f>Y142*100/$Y$237</f>
        <v>0</v>
      </c>
      <c r="AA142" s="30"/>
      <c r="AB142" s="30"/>
      <c r="AC142" s="30"/>
      <c r="AD142" s="30"/>
      <c r="AE142" s="30"/>
      <c r="AF142" s="30"/>
      <c r="AG142" s="30"/>
      <c r="AH142" s="30"/>
      <c r="AI142" s="30">
        <v>10</v>
      </c>
      <c r="AJ142" s="30">
        <v>20</v>
      </c>
      <c r="AK142" s="30">
        <v>40</v>
      </c>
      <c r="AL142" s="27">
        <v>30</v>
      </c>
      <c r="AM142" s="29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</row>
    <row r="143" ht="25.5" customHeight="1">
      <c r="A143" s="16"/>
      <c r="B143" t="s" s="17">
        <v>25</v>
      </c>
      <c r="C143" t="s" s="31">
        <v>90</v>
      </c>
      <c r="D143" t="s" s="32">
        <v>94</v>
      </c>
      <c r="E143" t="s" s="33">
        <v>100</v>
      </c>
      <c r="F143" t="s" s="21">
        <v>43</v>
      </c>
      <c r="G143" t="s" s="22">
        <v>36</v>
      </c>
      <c r="H143" s="49">
        <v>0</v>
      </c>
      <c r="I143" s="50">
        <v>0</v>
      </c>
      <c r="J143" s="28">
        <v>0</v>
      </c>
      <c r="K143" s="28">
        <v>443</v>
      </c>
      <c r="L143" s="28">
        <v>293</v>
      </c>
      <c r="M143" s="28">
        <v>446</v>
      </c>
      <c r="N143" s="28">
        <v>446</v>
      </c>
      <c r="O143" s="28">
        <v>446</v>
      </c>
      <c r="P143" s="28">
        <v>446</v>
      </c>
      <c r="Q143" s="28">
        <v>446</v>
      </c>
      <c r="R143" s="28">
        <v>477</v>
      </c>
      <c r="S143" s="28">
        <v>0</v>
      </c>
      <c r="T143" s="29">
        <v>0</v>
      </c>
      <c r="U143" s="26">
        <f>SUM(H143:T143)</f>
        <v>3443</v>
      </c>
      <c r="V143" s="27">
        <v>2290</v>
      </c>
      <c r="W143" s="28">
        <v>440</v>
      </c>
      <c r="X143" s="29">
        <f>SUM(V143,W143)</f>
        <v>2730</v>
      </c>
      <c r="Y143" s="27">
        <f>X143*U143</f>
        <v>9399390</v>
      </c>
      <c r="Z143" s="29">
        <f>Y143*100/$Y$237</f>
        <v>6.40495204156394</v>
      </c>
      <c r="AA143" s="30"/>
      <c r="AB143" s="30"/>
      <c r="AC143" s="30"/>
      <c r="AD143" s="30"/>
      <c r="AE143" s="30"/>
      <c r="AF143" s="30"/>
      <c r="AG143" s="30"/>
      <c r="AH143" s="30"/>
      <c r="AI143" s="30"/>
      <c r="AJ143" s="30">
        <v>40</v>
      </c>
      <c r="AK143" s="30">
        <v>40</v>
      </c>
      <c r="AL143" s="30">
        <v>20</v>
      </c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</row>
    <row r="144" ht="25.5" customHeight="1">
      <c r="A144" s="16"/>
      <c r="B144" t="s" s="17">
        <v>25</v>
      </c>
      <c r="C144" t="s" s="31">
        <v>90</v>
      </c>
      <c r="D144" t="s" s="32">
        <v>94</v>
      </c>
      <c r="E144" t="s" s="33">
        <v>100</v>
      </c>
      <c r="F144" t="s" s="21">
        <v>44</v>
      </c>
      <c r="G144" t="s" s="22">
        <v>40</v>
      </c>
      <c r="H144" s="49">
        <v>0</v>
      </c>
      <c r="I144" s="50">
        <v>0</v>
      </c>
      <c r="J144" s="28">
        <v>0</v>
      </c>
      <c r="K144" s="28">
        <v>1808</v>
      </c>
      <c r="L144" s="28">
        <v>1176</v>
      </c>
      <c r="M144" s="28">
        <v>1766</v>
      </c>
      <c r="N144" s="28">
        <v>1766</v>
      </c>
      <c r="O144" s="28">
        <v>1766</v>
      </c>
      <c r="P144" s="28">
        <v>1766</v>
      </c>
      <c r="Q144" s="28">
        <v>1766</v>
      </c>
      <c r="R144" s="28">
        <v>1764</v>
      </c>
      <c r="S144" s="28">
        <v>0</v>
      </c>
      <c r="T144" s="29">
        <v>0</v>
      </c>
      <c r="U144" s="26">
        <f>SUM(H144:T144)</f>
        <v>13578</v>
      </c>
      <c r="V144" s="27">
        <v>350</v>
      </c>
      <c r="W144" s="28">
        <v>220</v>
      </c>
      <c r="X144" s="29">
        <f>SUM(V144,W144)</f>
        <v>570</v>
      </c>
      <c r="Y144" s="27">
        <f>X144*U144</f>
        <v>7739460</v>
      </c>
      <c r="Z144" s="29">
        <f>Y144*100/$Y$237</f>
        <v>5.2738390605776</v>
      </c>
      <c r="AA144" s="30"/>
      <c r="AB144" s="30"/>
      <c r="AC144" s="30"/>
      <c r="AD144" s="30"/>
      <c r="AE144" s="30"/>
      <c r="AF144" s="30"/>
      <c r="AG144" s="30"/>
      <c r="AH144" s="30"/>
      <c r="AI144" s="30"/>
      <c r="AJ144" s="30">
        <v>40</v>
      </c>
      <c r="AK144" s="30">
        <v>40</v>
      </c>
      <c r="AL144" s="27">
        <v>20</v>
      </c>
      <c r="AM144" s="29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</row>
    <row r="145" ht="25.5" customHeight="1">
      <c r="A145" s="16"/>
      <c r="B145" t="s" s="17">
        <v>25</v>
      </c>
      <c r="C145" t="s" s="31">
        <v>90</v>
      </c>
      <c r="D145" t="s" s="32">
        <v>94</v>
      </c>
      <c r="E145" t="s" s="33">
        <v>100</v>
      </c>
      <c r="F145" t="s" s="21">
        <v>45</v>
      </c>
      <c r="G145" t="s" s="22">
        <v>67</v>
      </c>
      <c r="H145" s="49">
        <v>0</v>
      </c>
      <c r="I145" s="50">
        <v>0</v>
      </c>
      <c r="J145" s="28">
        <v>0</v>
      </c>
      <c r="K145" s="28">
        <v>29</v>
      </c>
      <c r="L145" s="28">
        <v>29</v>
      </c>
      <c r="M145" s="28">
        <v>29</v>
      </c>
      <c r="N145" s="28">
        <v>29</v>
      </c>
      <c r="O145" s="28">
        <v>29</v>
      </c>
      <c r="P145" s="28">
        <v>29</v>
      </c>
      <c r="Q145" s="28">
        <v>29</v>
      </c>
      <c r="R145" s="28">
        <v>29</v>
      </c>
      <c r="S145" s="28">
        <v>0</v>
      </c>
      <c r="T145" s="29">
        <v>0</v>
      </c>
      <c r="U145" s="26">
        <f>SUM(H145:T145)</f>
        <v>232</v>
      </c>
      <c r="V145" s="27">
        <v>24</v>
      </c>
      <c r="W145" s="28">
        <v>5.5</v>
      </c>
      <c r="X145" s="29">
        <f>SUM(V145,W145)</f>
        <v>29.5</v>
      </c>
      <c r="Y145" s="27">
        <f>X145*U145</f>
        <v>6844</v>
      </c>
      <c r="Z145" s="29">
        <f>Y145*100/$Y$237</f>
        <v>0.00466365282986062</v>
      </c>
      <c r="AA145" s="30"/>
      <c r="AB145" s="30"/>
      <c r="AC145" s="30"/>
      <c r="AD145" s="30"/>
      <c r="AE145" s="30"/>
      <c r="AF145" s="30"/>
      <c r="AG145" s="30"/>
      <c r="AH145" s="30"/>
      <c r="AI145" s="30"/>
      <c r="AJ145" s="30">
        <v>40</v>
      </c>
      <c r="AK145" s="30">
        <v>40</v>
      </c>
      <c r="AL145" s="27">
        <v>20</v>
      </c>
      <c r="AM145" s="29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</row>
    <row r="146" ht="25.5" customHeight="1">
      <c r="A146" s="16"/>
      <c r="B146" t="s" s="17">
        <v>25</v>
      </c>
      <c r="C146" t="s" s="31">
        <v>90</v>
      </c>
      <c r="D146" t="s" s="32">
        <v>94</v>
      </c>
      <c r="E146" t="s" s="33">
        <v>100</v>
      </c>
      <c r="F146" t="s" s="21">
        <v>47</v>
      </c>
      <c r="G146" t="s" s="22">
        <v>67</v>
      </c>
      <c r="H146" s="49">
        <v>0</v>
      </c>
      <c r="I146" s="50">
        <v>0</v>
      </c>
      <c r="J146" s="28">
        <v>0</v>
      </c>
      <c r="K146" s="28">
        <v>694</v>
      </c>
      <c r="L146" s="28">
        <v>381</v>
      </c>
      <c r="M146" s="28">
        <v>728</v>
      </c>
      <c r="N146" s="28">
        <v>728</v>
      </c>
      <c r="O146" s="28">
        <v>728</v>
      </c>
      <c r="P146" s="28">
        <v>728</v>
      </c>
      <c r="Q146" s="28">
        <v>728</v>
      </c>
      <c r="R146" s="28">
        <v>728</v>
      </c>
      <c r="S146" s="28">
        <v>0</v>
      </c>
      <c r="T146" s="29">
        <v>0</v>
      </c>
      <c r="U146" s="26">
        <f>SUM(H146:T146)</f>
        <v>5443</v>
      </c>
      <c r="V146" s="27">
        <v>23</v>
      </c>
      <c r="W146" s="28">
        <v>5.5</v>
      </c>
      <c r="X146" s="29">
        <f>SUM(V146,W146)</f>
        <v>28.5</v>
      </c>
      <c r="Y146" s="27">
        <f>X146*U146</f>
        <v>155125.5</v>
      </c>
      <c r="Z146" s="29">
        <f>Y146*100/$Y$237</f>
        <v>0.105705943462674</v>
      </c>
      <c r="AA146" s="30"/>
      <c r="AB146" s="30"/>
      <c r="AC146" s="30"/>
      <c r="AD146" s="30"/>
      <c r="AE146" s="30"/>
      <c r="AF146" s="30"/>
      <c r="AG146" s="30"/>
      <c r="AH146" s="30"/>
      <c r="AI146" s="30"/>
      <c r="AJ146" s="30">
        <v>40</v>
      </c>
      <c r="AK146" s="30">
        <v>40</v>
      </c>
      <c r="AL146" s="27">
        <v>20</v>
      </c>
      <c r="AM146" s="29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</row>
    <row r="147" ht="25.5" customHeight="1">
      <c r="A147" s="16"/>
      <c r="B147" t="s" s="17">
        <v>25</v>
      </c>
      <c r="C147" t="s" s="31">
        <v>90</v>
      </c>
      <c r="D147" t="s" s="32">
        <v>94</v>
      </c>
      <c r="E147" t="s" s="33">
        <v>100</v>
      </c>
      <c r="F147" t="s" s="21">
        <v>48</v>
      </c>
      <c r="G147" t="s" s="22">
        <v>67</v>
      </c>
      <c r="H147" s="49">
        <v>0</v>
      </c>
      <c r="I147" s="50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9">
        <v>0</v>
      </c>
      <c r="U147" s="26">
        <f>SUM(H147:T147)</f>
        <v>0</v>
      </c>
      <c r="V147" s="27">
        <v>23</v>
      </c>
      <c r="W147" s="28">
        <v>5.5</v>
      </c>
      <c r="X147" s="29">
        <f>SUM(V147,W147)</f>
        <v>28.5</v>
      </c>
      <c r="Y147" s="27">
        <f>X147*U147</f>
        <v>0</v>
      </c>
      <c r="Z147" s="29">
        <f>Y147*100/$Y$237</f>
        <v>0</v>
      </c>
      <c r="AA147" s="30"/>
      <c r="AB147" s="30"/>
      <c r="AC147" s="30"/>
      <c r="AD147" s="30"/>
      <c r="AE147" s="30"/>
      <c r="AF147" s="30"/>
      <c r="AG147" s="30"/>
      <c r="AH147" s="30"/>
      <c r="AI147" s="30"/>
      <c r="AJ147" s="30">
        <v>40</v>
      </c>
      <c r="AK147" s="30">
        <v>40</v>
      </c>
      <c r="AL147" s="27">
        <v>20</v>
      </c>
      <c r="AM147" s="29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</row>
    <row r="148" ht="25.5" customHeight="1">
      <c r="A148" s="16"/>
      <c r="B148" t="s" s="17">
        <v>25</v>
      </c>
      <c r="C148" t="s" s="31">
        <v>90</v>
      </c>
      <c r="D148" t="s" s="32">
        <v>94</v>
      </c>
      <c r="E148" t="s" s="33">
        <v>100</v>
      </c>
      <c r="F148" t="s" s="21">
        <v>49</v>
      </c>
      <c r="G148" t="s" s="22">
        <v>67</v>
      </c>
      <c r="H148" s="49">
        <v>0</v>
      </c>
      <c r="I148" s="50">
        <v>0</v>
      </c>
      <c r="J148" s="28">
        <v>0</v>
      </c>
      <c r="K148" s="28">
        <v>15028</v>
      </c>
      <c r="L148" s="28">
        <v>11201</v>
      </c>
      <c r="M148" s="28">
        <v>19726</v>
      </c>
      <c r="N148" s="28">
        <v>19726</v>
      </c>
      <c r="O148" s="28">
        <v>19726</v>
      </c>
      <c r="P148" s="28">
        <v>19726</v>
      </c>
      <c r="Q148" s="28">
        <v>19726</v>
      </c>
      <c r="R148" s="28">
        <v>20551</v>
      </c>
      <c r="S148" s="28">
        <v>0</v>
      </c>
      <c r="T148" s="29">
        <v>0</v>
      </c>
      <c r="U148" s="26">
        <f>SUM(H148:T148)</f>
        <v>145410</v>
      </c>
      <c r="V148" s="27">
        <v>22.5</v>
      </c>
      <c r="W148" s="28">
        <v>5</v>
      </c>
      <c r="X148" s="29">
        <f>SUM(V148,W148)</f>
        <v>27.5</v>
      </c>
      <c r="Y148" s="27">
        <f>X148*U148</f>
        <v>3998775</v>
      </c>
      <c r="Z148" s="29">
        <f>Y148*100/$Y$237</f>
        <v>2.72485364475831</v>
      </c>
      <c r="AA148" s="30"/>
      <c r="AB148" s="30"/>
      <c r="AC148" s="30"/>
      <c r="AD148" s="30"/>
      <c r="AE148" s="30"/>
      <c r="AF148" s="30"/>
      <c r="AG148" s="30"/>
      <c r="AH148" s="30"/>
      <c r="AI148" s="30"/>
      <c r="AJ148" s="30">
        <v>40</v>
      </c>
      <c r="AK148" s="30">
        <v>40</v>
      </c>
      <c r="AL148" s="27">
        <v>20</v>
      </c>
      <c r="AM148" s="29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</row>
    <row r="149" ht="25.5" customHeight="1">
      <c r="A149" s="16"/>
      <c r="B149" t="s" s="17">
        <v>25</v>
      </c>
      <c r="C149" t="s" s="31">
        <v>90</v>
      </c>
      <c r="D149" t="s" s="32">
        <v>94</v>
      </c>
      <c r="E149" t="s" s="33">
        <v>100</v>
      </c>
      <c r="F149" t="s" s="21">
        <v>50</v>
      </c>
      <c r="G149" t="s" s="22">
        <v>67</v>
      </c>
      <c r="H149" s="49">
        <v>0</v>
      </c>
      <c r="I149" s="50">
        <v>0</v>
      </c>
      <c r="J149" s="28">
        <v>0</v>
      </c>
      <c r="K149" s="28">
        <v>5384</v>
      </c>
      <c r="L149" s="28">
        <v>4999</v>
      </c>
      <c r="M149" s="28">
        <v>6937</v>
      </c>
      <c r="N149" s="28">
        <v>6937</v>
      </c>
      <c r="O149" s="28">
        <v>6937</v>
      </c>
      <c r="P149" s="28">
        <v>6937</v>
      </c>
      <c r="Q149" s="28">
        <v>6937</v>
      </c>
      <c r="R149" s="28">
        <v>6937</v>
      </c>
      <c r="S149" s="28">
        <v>0</v>
      </c>
      <c r="T149" s="29">
        <v>0</v>
      </c>
      <c r="U149" s="26">
        <f>SUM(H149:T149)</f>
        <v>52005</v>
      </c>
      <c r="V149" s="27">
        <v>22</v>
      </c>
      <c r="W149" s="28">
        <v>5</v>
      </c>
      <c r="X149" s="29">
        <f>SUM(V149,W149)</f>
        <v>27</v>
      </c>
      <c r="Y149" s="27">
        <f>X149*U149</f>
        <v>1404135</v>
      </c>
      <c r="Z149" s="29">
        <f>Y149*100/$Y$237</f>
        <v>0.956808615759255</v>
      </c>
      <c r="AA149" s="30"/>
      <c r="AB149" s="30"/>
      <c r="AC149" s="30"/>
      <c r="AD149" s="30"/>
      <c r="AE149" s="30"/>
      <c r="AF149" s="30"/>
      <c r="AG149" s="30"/>
      <c r="AH149" s="30"/>
      <c r="AI149" s="30"/>
      <c r="AJ149" s="30">
        <v>40</v>
      </c>
      <c r="AK149" s="30">
        <v>40</v>
      </c>
      <c r="AL149" s="27">
        <v>20</v>
      </c>
      <c r="AM149" s="29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</row>
    <row r="150" ht="25.5" customHeight="1">
      <c r="A150" s="16"/>
      <c r="B150" t="s" s="17">
        <v>25</v>
      </c>
      <c r="C150" t="s" s="31">
        <v>90</v>
      </c>
      <c r="D150" t="s" s="32">
        <v>94</v>
      </c>
      <c r="E150" t="s" s="33">
        <v>100</v>
      </c>
      <c r="F150" t="s" s="21">
        <v>82</v>
      </c>
      <c r="G150" t="s" s="22">
        <v>67</v>
      </c>
      <c r="H150" s="49">
        <v>0</v>
      </c>
      <c r="I150" s="50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9">
        <v>0</v>
      </c>
      <c r="U150" s="26">
        <f>SUM(H150:T150)</f>
        <v>0</v>
      </c>
      <c r="V150" s="27">
        <v>22</v>
      </c>
      <c r="W150" s="28">
        <v>4.5</v>
      </c>
      <c r="X150" s="29">
        <f>SUM(V150,W150)</f>
        <v>26.5</v>
      </c>
      <c r="Y150" s="27">
        <f>X150*U150</f>
        <v>0</v>
      </c>
      <c r="Z150" s="29">
        <f>Y150*100/$Y$237</f>
        <v>0</v>
      </c>
      <c r="AA150" s="30"/>
      <c r="AB150" s="30"/>
      <c r="AC150" s="30"/>
      <c r="AD150" s="30"/>
      <c r="AE150" s="30"/>
      <c r="AF150" s="30"/>
      <c r="AG150" s="30"/>
      <c r="AH150" s="30"/>
      <c r="AI150" s="30"/>
      <c r="AJ150" s="30">
        <v>40</v>
      </c>
      <c r="AK150" s="30">
        <v>40</v>
      </c>
      <c r="AL150" s="27">
        <v>20</v>
      </c>
      <c r="AM150" s="29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</row>
    <row r="151" ht="25.5" customHeight="1">
      <c r="A151" s="16"/>
      <c r="B151" t="s" s="17">
        <v>25</v>
      </c>
      <c r="C151" t="s" s="31">
        <v>90</v>
      </c>
      <c r="D151" t="s" s="32">
        <v>94</v>
      </c>
      <c r="E151" t="s" s="33">
        <v>100</v>
      </c>
      <c r="F151" t="s" s="21">
        <v>83</v>
      </c>
      <c r="G151" t="s" s="22">
        <v>67</v>
      </c>
      <c r="H151" s="49">
        <v>0</v>
      </c>
      <c r="I151" s="50">
        <v>0</v>
      </c>
      <c r="J151" s="28">
        <v>0</v>
      </c>
      <c r="K151" s="28">
        <v>2274</v>
      </c>
      <c r="L151" s="28">
        <v>1583</v>
      </c>
      <c r="M151" s="28">
        <v>2960</v>
      </c>
      <c r="N151" s="28">
        <v>2960</v>
      </c>
      <c r="O151" s="28">
        <v>2960</v>
      </c>
      <c r="P151" s="28">
        <v>2960</v>
      </c>
      <c r="Q151" s="28">
        <v>2960</v>
      </c>
      <c r="R151" s="28">
        <v>2960</v>
      </c>
      <c r="S151" s="28">
        <v>0</v>
      </c>
      <c r="T151" s="29">
        <v>0</v>
      </c>
      <c r="U151" s="26">
        <f>SUM(H151:T151)</f>
        <v>21617</v>
      </c>
      <c r="V151" s="27">
        <v>22</v>
      </c>
      <c r="W151" s="28">
        <v>4.5</v>
      </c>
      <c r="X151" s="29">
        <f>SUM(V151,W151)</f>
        <v>26.5</v>
      </c>
      <c r="Y151" s="27">
        <f>X151*U151</f>
        <v>572850.5</v>
      </c>
      <c r="Z151" s="29">
        <f>Y151*100/$Y$237</f>
        <v>0.390352988809478</v>
      </c>
      <c r="AA151" s="30"/>
      <c r="AB151" s="30"/>
      <c r="AC151" s="30"/>
      <c r="AD151" s="30"/>
      <c r="AE151" s="30"/>
      <c r="AF151" s="30"/>
      <c r="AG151" s="30"/>
      <c r="AH151" s="30"/>
      <c r="AI151" s="30"/>
      <c r="AJ151" s="30">
        <v>40</v>
      </c>
      <c r="AK151" s="30">
        <v>40</v>
      </c>
      <c r="AL151" s="27">
        <v>20</v>
      </c>
      <c r="AM151" s="29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</row>
    <row r="152" ht="25.5" customHeight="1">
      <c r="A152" s="16"/>
      <c r="B152" t="s" s="17">
        <v>25</v>
      </c>
      <c r="C152" t="s" s="31">
        <v>90</v>
      </c>
      <c r="D152" t="s" s="32">
        <v>94</v>
      </c>
      <c r="E152" t="s" s="33">
        <v>100</v>
      </c>
      <c r="F152" t="s" s="21">
        <v>84</v>
      </c>
      <c r="G152" t="s" s="22">
        <v>67</v>
      </c>
      <c r="H152" s="49">
        <v>0</v>
      </c>
      <c r="I152" s="50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9">
        <v>0</v>
      </c>
      <c r="U152" s="26">
        <f>SUM(H152:T152)</f>
        <v>0</v>
      </c>
      <c r="V152" s="27">
        <v>22</v>
      </c>
      <c r="W152" s="28">
        <v>4.5</v>
      </c>
      <c r="X152" s="29">
        <f>SUM(V152,W152)</f>
        <v>26.5</v>
      </c>
      <c r="Y152" s="27">
        <f>X152*U152</f>
        <v>0</v>
      </c>
      <c r="Z152" s="29">
        <f>Y152*100/$Y$237</f>
        <v>0</v>
      </c>
      <c r="AA152" s="30"/>
      <c r="AB152" s="30"/>
      <c r="AC152" s="30"/>
      <c r="AD152" s="30"/>
      <c r="AE152" s="30"/>
      <c r="AF152" s="30"/>
      <c r="AG152" s="30"/>
      <c r="AH152" s="30"/>
      <c r="AI152" s="30"/>
      <c r="AJ152" s="30">
        <v>40</v>
      </c>
      <c r="AK152" s="30">
        <v>40</v>
      </c>
      <c r="AL152" s="27">
        <v>20</v>
      </c>
      <c r="AM152" s="29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</row>
    <row r="153" ht="25.5" customHeight="1">
      <c r="A153" s="16"/>
      <c r="B153" t="s" s="17">
        <v>25</v>
      </c>
      <c r="C153" t="s" s="31">
        <v>90</v>
      </c>
      <c r="D153" t="s" s="32">
        <v>94</v>
      </c>
      <c r="E153" t="s" s="33">
        <v>100</v>
      </c>
      <c r="F153" t="s" s="21">
        <v>54</v>
      </c>
      <c r="G153" t="s" s="22">
        <v>67</v>
      </c>
      <c r="H153" s="49">
        <v>0</v>
      </c>
      <c r="I153" s="50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9">
        <v>0</v>
      </c>
      <c r="U153" s="26">
        <f>SUM(H153:T153)</f>
        <v>0</v>
      </c>
      <c r="V153" s="27">
        <v>22.5</v>
      </c>
      <c r="W153" s="28">
        <v>4.5</v>
      </c>
      <c r="X153" s="29">
        <f>SUM(V153,W153)</f>
        <v>27</v>
      </c>
      <c r="Y153" s="27">
        <f>X153*U153</f>
        <v>0</v>
      </c>
      <c r="Z153" s="29">
        <f>Y153*100/$Y$237</f>
        <v>0</v>
      </c>
      <c r="AA153" s="30"/>
      <c r="AB153" s="30"/>
      <c r="AC153" s="30"/>
      <c r="AD153" s="30"/>
      <c r="AE153" s="30"/>
      <c r="AF153" s="30"/>
      <c r="AG153" s="30"/>
      <c r="AH153" s="30"/>
      <c r="AI153" s="30"/>
      <c r="AJ153" s="30">
        <v>40</v>
      </c>
      <c r="AK153" s="30">
        <v>40</v>
      </c>
      <c r="AL153" s="27">
        <v>20</v>
      </c>
      <c r="AM153" s="29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</row>
    <row r="154" ht="25.5" customHeight="1">
      <c r="A154" s="16"/>
      <c r="B154" t="s" s="17">
        <v>25</v>
      </c>
      <c r="C154" t="s" s="31">
        <v>90</v>
      </c>
      <c r="D154" t="s" s="32">
        <v>94</v>
      </c>
      <c r="E154" t="s" s="33">
        <v>100</v>
      </c>
      <c r="F154" t="s" s="21">
        <v>101</v>
      </c>
      <c r="G154" t="s" s="22">
        <v>40</v>
      </c>
      <c r="H154" s="49">
        <v>0</v>
      </c>
      <c r="I154" s="50">
        <v>0</v>
      </c>
      <c r="J154" s="28">
        <v>0</v>
      </c>
      <c r="K154" s="28">
        <v>1626</v>
      </c>
      <c r="L154" s="28">
        <v>1101</v>
      </c>
      <c r="M154" s="28">
        <v>1648</v>
      </c>
      <c r="N154" s="28">
        <v>1648</v>
      </c>
      <c r="O154" s="28">
        <v>1648</v>
      </c>
      <c r="P154" s="28">
        <v>1648</v>
      </c>
      <c r="Q154" s="28">
        <v>1648</v>
      </c>
      <c r="R154" s="28">
        <v>1285</v>
      </c>
      <c r="S154" s="28">
        <v>0</v>
      </c>
      <c r="T154" s="29">
        <v>0</v>
      </c>
      <c r="U154" s="26">
        <f>SUM(H154:T154)</f>
        <v>12252</v>
      </c>
      <c r="V154" s="27">
        <v>500</v>
      </c>
      <c r="W154" s="28">
        <v>0</v>
      </c>
      <c r="X154" s="29">
        <f>SUM(V154,W154)</f>
        <v>500</v>
      </c>
      <c r="Y154" s="27">
        <f>X154*U154</f>
        <v>6126000</v>
      </c>
      <c r="Z154" s="29">
        <f>Y154*100/$Y$237</f>
        <v>4.17439176442521</v>
      </c>
      <c r="AA154" s="30"/>
      <c r="AB154" s="30"/>
      <c r="AC154" s="30"/>
      <c r="AD154" s="30"/>
      <c r="AE154" s="30"/>
      <c r="AF154" s="30"/>
      <c r="AG154" s="30"/>
      <c r="AH154" s="30"/>
      <c r="AI154" s="30"/>
      <c r="AJ154" s="30">
        <v>40</v>
      </c>
      <c r="AK154" s="30">
        <v>40</v>
      </c>
      <c r="AL154" s="27">
        <v>20</v>
      </c>
      <c r="AM154" s="29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</row>
    <row r="155" ht="25.5" customHeight="1">
      <c r="A155" s="16"/>
      <c r="B155" t="s" s="17">
        <v>25</v>
      </c>
      <c r="C155" t="s" s="31">
        <v>90</v>
      </c>
      <c r="D155" t="s" s="32">
        <v>94</v>
      </c>
      <c r="E155" t="s" s="39">
        <v>73</v>
      </c>
      <c r="F155" t="s" s="43">
        <v>43</v>
      </c>
      <c r="G155" t="s" s="44">
        <v>36</v>
      </c>
      <c r="H155" s="51">
        <v>0</v>
      </c>
      <c r="I155" s="52">
        <v>104</v>
      </c>
      <c r="J155" s="52">
        <v>88</v>
      </c>
      <c r="K155" s="52">
        <v>88</v>
      </c>
      <c r="L155" s="52">
        <v>0</v>
      </c>
      <c r="M155" s="52">
        <v>0</v>
      </c>
      <c r="N155" s="52">
        <v>0</v>
      </c>
      <c r="O155" s="52">
        <v>0</v>
      </c>
      <c r="P155" s="52">
        <v>0</v>
      </c>
      <c r="Q155" s="52">
        <v>0</v>
      </c>
      <c r="R155" s="52">
        <v>0</v>
      </c>
      <c r="S155" s="52">
        <v>509</v>
      </c>
      <c r="T155" s="53">
        <v>64</v>
      </c>
      <c r="U155" s="54">
        <f>SUM(H155:T155)</f>
        <v>853</v>
      </c>
      <c r="V155" s="27">
        <v>2060</v>
      </c>
      <c r="W155" s="28">
        <v>440</v>
      </c>
      <c r="X155" s="29">
        <f>SUM(V155,W155)</f>
        <v>2500</v>
      </c>
      <c r="Y155" s="27">
        <f>X155*U155</f>
        <v>2132500</v>
      </c>
      <c r="Z155" s="29">
        <f>Y155*100/$Y$237</f>
        <v>1.45313262122703</v>
      </c>
      <c r="AA155" s="30"/>
      <c r="AB155" s="30"/>
      <c r="AC155" s="30"/>
      <c r="AD155" s="30"/>
      <c r="AE155" s="30"/>
      <c r="AF155" s="30"/>
      <c r="AG155" s="30"/>
      <c r="AH155" s="30"/>
      <c r="AI155" s="30"/>
      <c r="AJ155" s="30">
        <v>40</v>
      </c>
      <c r="AK155" s="30">
        <v>40</v>
      </c>
      <c r="AL155" s="27">
        <v>20</v>
      </c>
      <c r="AM155" s="29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</row>
    <row r="156" ht="25.5" customHeight="1">
      <c r="A156" s="16"/>
      <c r="B156" t="s" s="17">
        <v>25</v>
      </c>
      <c r="C156" t="s" s="31">
        <v>90</v>
      </c>
      <c r="D156" t="s" s="32">
        <v>102</v>
      </c>
      <c r="E156" t="s" s="33">
        <v>103</v>
      </c>
      <c r="F156" t="s" s="21">
        <v>104</v>
      </c>
      <c r="G156" t="s" s="22">
        <v>36</v>
      </c>
      <c r="H156" s="23">
        <v>0</v>
      </c>
      <c r="I156" s="24">
        <v>210</v>
      </c>
      <c r="J156" s="24">
        <v>248</v>
      </c>
      <c r="K156" s="24">
        <v>118</v>
      </c>
      <c r="L156" s="24">
        <v>111</v>
      </c>
      <c r="M156" s="24">
        <v>107</v>
      </c>
      <c r="N156" s="24">
        <v>76</v>
      </c>
      <c r="O156" s="24">
        <v>92</v>
      </c>
      <c r="P156" s="24">
        <v>107</v>
      </c>
      <c r="Q156" s="24">
        <v>86</v>
      </c>
      <c r="R156" s="24">
        <v>168</v>
      </c>
      <c r="S156" s="24">
        <v>118</v>
      </c>
      <c r="T156" s="25">
        <v>118</v>
      </c>
      <c r="U156" s="26">
        <f>SUM(H156:T156)</f>
        <v>1559</v>
      </c>
      <c r="V156" s="27">
        <v>2520</v>
      </c>
      <c r="W156" s="28">
        <v>265</v>
      </c>
      <c r="X156" s="29">
        <f>SUM(V156,W156)</f>
        <v>2785</v>
      </c>
      <c r="Y156" s="27">
        <f>X156*U156</f>
        <v>4341815</v>
      </c>
      <c r="Z156" s="29">
        <f>Y156*100/$Y$237</f>
        <v>2.95860868081258</v>
      </c>
      <c r="AA156" s="30"/>
      <c r="AB156" s="30"/>
      <c r="AC156" s="30"/>
      <c r="AD156" s="30"/>
      <c r="AE156" s="30"/>
      <c r="AF156" s="30"/>
      <c r="AG156" s="30"/>
      <c r="AH156" s="30"/>
      <c r="AI156" s="30">
        <v>40</v>
      </c>
      <c r="AJ156" s="30">
        <v>40</v>
      </c>
      <c r="AK156" s="30">
        <v>30</v>
      </c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</row>
    <row r="157" ht="25.5" customHeight="1">
      <c r="A157" s="16"/>
      <c r="B157" t="s" s="17">
        <v>25</v>
      </c>
      <c r="C157" t="s" s="31">
        <v>90</v>
      </c>
      <c r="D157" t="s" s="32">
        <v>102</v>
      </c>
      <c r="E157" t="s" s="33">
        <v>103</v>
      </c>
      <c r="F157" t="s" s="21">
        <v>44</v>
      </c>
      <c r="G157" t="s" s="22">
        <v>40</v>
      </c>
      <c r="H157" s="23">
        <v>0</v>
      </c>
      <c r="I157" s="24">
        <v>750</v>
      </c>
      <c r="J157" s="24">
        <v>894</v>
      </c>
      <c r="K157" s="24">
        <v>430</v>
      </c>
      <c r="L157" s="24">
        <v>396</v>
      </c>
      <c r="M157" s="24">
        <v>383</v>
      </c>
      <c r="N157" s="24">
        <v>284</v>
      </c>
      <c r="O157" s="24">
        <v>329</v>
      </c>
      <c r="P157" s="24">
        <v>383</v>
      </c>
      <c r="Q157" s="24">
        <v>306</v>
      </c>
      <c r="R157" s="24">
        <v>565</v>
      </c>
      <c r="S157" s="24">
        <v>425</v>
      </c>
      <c r="T157" s="25">
        <v>425</v>
      </c>
      <c r="U157" s="26">
        <f>SUM(H157:T157)</f>
        <v>5570</v>
      </c>
      <c r="V157" s="27">
        <v>195</v>
      </c>
      <c r="W157" s="28">
        <v>260</v>
      </c>
      <c r="X157" s="29">
        <f>SUM(V157,W157)</f>
        <v>455</v>
      </c>
      <c r="Y157" s="27">
        <f>X157*U157</f>
        <v>2534350</v>
      </c>
      <c r="Z157" s="29">
        <f>Y157*100/$Y$237</f>
        <v>1.72696209078861</v>
      </c>
      <c r="AA157" s="30"/>
      <c r="AB157" s="30"/>
      <c r="AC157" s="30"/>
      <c r="AD157" s="30"/>
      <c r="AE157" s="30"/>
      <c r="AF157" s="30"/>
      <c r="AG157" s="30"/>
      <c r="AH157" s="30"/>
      <c r="AI157" s="30">
        <v>40</v>
      </c>
      <c r="AJ157" s="30">
        <v>40</v>
      </c>
      <c r="AK157" s="30">
        <v>30</v>
      </c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</row>
    <row r="158" ht="25.5" customHeight="1">
      <c r="A158" s="16"/>
      <c r="B158" t="s" s="17">
        <v>25</v>
      </c>
      <c r="C158" t="s" s="31">
        <v>90</v>
      </c>
      <c r="D158" t="s" s="32">
        <v>102</v>
      </c>
      <c r="E158" t="s" s="33">
        <v>103</v>
      </c>
      <c r="F158" t="s" s="21">
        <v>45</v>
      </c>
      <c r="G158" t="s" s="22">
        <v>46</v>
      </c>
      <c r="H158" s="23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5">
        <v>0</v>
      </c>
      <c r="U158" s="26">
        <f>SUM(H158:T158)</f>
        <v>0</v>
      </c>
      <c r="V158" s="27">
        <v>24</v>
      </c>
      <c r="W158" s="28">
        <v>5.5</v>
      </c>
      <c r="X158" s="29">
        <f>SUM(V158,W158)</f>
        <v>29.5</v>
      </c>
      <c r="Y158" s="27">
        <f>X158*U158</f>
        <v>0</v>
      </c>
      <c r="Z158" s="29">
        <f>Y158*100/$Y$237</f>
        <v>0</v>
      </c>
      <c r="AA158" s="30"/>
      <c r="AB158" s="30"/>
      <c r="AC158" s="30"/>
      <c r="AD158" s="30"/>
      <c r="AE158" s="30"/>
      <c r="AF158" s="30"/>
      <c r="AG158" s="30"/>
      <c r="AH158" s="30"/>
      <c r="AI158" s="30">
        <v>40</v>
      </c>
      <c r="AJ158" s="30">
        <v>40</v>
      </c>
      <c r="AK158" s="30">
        <v>30</v>
      </c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</row>
    <row r="159" ht="25.5" customHeight="1">
      <c r="A159" s="16"/>
      <c r="B159" t="s" s="17">
        <v>25</v>
      </c>
      <c r="C159" t="s" s="31">
        <v>90</v>
      </c>
      <c r="D159" t="s" s="32">
        <v>102</v>
      </c>
      <c r="E159" t="s" s="33">
        <v>103</v>
      </c>
      <c r="F159" t="s" s="21">
        <v>47</v>
      </c>
      <c r="G159" t="s" s="22">
        <v>46</v>
      </c>
      <c r="H159" s="23">
        <v>0</v>
      </c>
      <c r="I159" s="24">
        <v>1876</v>
      </c>
      <c r="J159" s="24">
        <v>2167</v>
      </c>
      <c r="K159" s="24">
        <v>1086</v>
      </c>
      <c r="L159" s="24">
        <v>1033</v>
      </c>
      <c r="M159" s="24">
        <v>1029</v>
      </c>
      <c r="N159" s="24">
        <v>883</v>
      </c>
      <c r="O159" s="24">
        <v>931</v>
      </c>
      <c r="P159" s="24">
        <v>960</v>
      </c>
      <c r="Q159" s="24">
        <v>888</v>
      </c>
      <c r="R159" s="24">
        <v>1727</v>
      </c>
      <c r="S159" s="24">
        <v>1067</v>
      </c>
      <c r="T159" s="25">
        <v>1067</v>
      </c>
      <c r="U159" s="26">
        <f>SUM(H159:T159)</f>
        <v>14714</v>
      </c>
      <c r="V159" s="27">
        <v>23</v>
      </c>
      <c r="W159" s="28">
        <v>5.5</v>
      </c>
      <c r="X159" s="29">
        <f>SUM(V159,W159)</f>
        <v>28.5</v>
      </c>
      <c r="Y159" s="27">
        <f>X159*U159</f>
        <v>419349</v>
      </c>
      <c r="Z159" s="29">
        <f>Y159*100/$Y$237</f>
        <v>0.285753674831856</v>
      </c>
      <c r="AA159" s="30"/>
      <c r="AB159" s="30"/>
      <c r="AC159" s="30"/>
      <c r="AD159" s="30"/>
      <c r="AE159" s="30"/>
      <c r="AF159" s="30"/>
      <c r="AG159" s="30"/>
      <c r="AH159" s="30"/>
      <c r="AI159" s="30">
        <v>40</v>
      </c>
      <c r="AJ159" s="30">
        <v>40</v>
      </c>
      <c r="AK159" s="30">
        <v>30</v>
      </c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</row>
    <row r="160" ht="25.5" customHeight="1">
      <c r="A160" s="16"/>
      <c r="B160" t="s" s="17">
        <v>25</v>
      </c>
      <c r="C160" t="s" s="31">
        <v>90</v>
      </c>
      <c r="D160" t="s" s="32">
        <v>102</v>
      </c>
      <c r="E160" t="s" s="33">
        <v>103</v>
      </c>
      <c r="F160" t="s" s="21">
        <v>48</v>
      </c>
      <c r="G160" t="s" s="22">
        <v>46</v>
      </c>
      <c r="H160" s="23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5">
        <v>0</v>
      </c>
      <c r="U160" s="26">
        <f>SUM(H160:T160)</f>
        <v>0</v>
      </c>
      <c r="V160" s="27">
        <v>23</v>
      </c>
      <c r="W160" s="28">
        <v>5.5</v>
      </c>
      <c r="X160" s="29">
        <f>SUM(V160,W160)</f>
        <v>28.5</v>
      </c>
      <c r="Y160" s="27">
        <f>X160*U160</f>
        <v>0</v>
      </c>
      <c r="Z160" s="29">
        <f>Y160*100/$Y$237</f>
        <v>0</v>
      </c>
      <c r="AA160" s="30"/>
      <c r="AB160" s="30"/>
      <c r="AC160" s="30"/>
      <c r="AD160" s="30"/>
      <c r="AE160" s="30"/>
      <c r="AF160" s="30"/>
      <c r="AG160" s="30"/>
      <c r="AH160" s="30"/>
      <c r="AI160" s="30">
        <v>40</v>
      </c>
      <c r="AJ160" s="30">
        <v>40</v>
      </c>
      <c r="AK160" s="30">
        <v>30</v>
      </c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</row>
    <row r="161" ht="25.5" customHeight="1">
      <c r="A161" s="16"/>
      <c r="B161" t="s" s="17">
        <v>25</v>
      </c>
      <c r="C161" t="s" s="31">
        <v>90</v>
      </c>
      <c r="D161" t="s" s="32">
        <v>102</v>
      </c>
      <c r="E161" t="s" s="33">
        <v>103</v>
      </c>
      <c r="F161" t="s" s="21">
        <v>49</v>
      </c>
      <c r="G161" t="s" s="22">
        <v>46</v>
      </c>
      <c r="H161" s="23">
        <v>0</v>
      </c>
      <c r="I161" s="24">
        <v>4317</v>
      </c>
      <c r="J161" s="24">
        <v>5120</v>
      </c>
      <c r="K161" s="24">
        <v>2734</v>
      </c>
      <c r="L161" s="24">
        <v>2453</v>
      </c>
      <c r="M161" s="24">
        <v>2386</v>
      </c>
      <c r="N161" s="24">
        <v>1960</v>
      </c>
      <c r="O161" s="24">
        <v>2087</v>
      </c>
      <c r="P161" s="24">
        <v>2468</v>
      </c>
      <c r="Q161" s="24">
        <v>1940</v>
      </c>
      <c r="R161" s="24">
        <v>4158</v>
      </c>
      <c r="S161" s="24">
        <v>2018</v>
      </c>
      <c r="T161" s="25">
        <v>2018</v>
      </c>
      <c r="U161" s="26">
        <f>SUM(H161:T161)</f>
        <v>33659</v>
      </c>
      <c r="V161" s="27">
        <v>22.5</v>
      </c>
      <c r="W161" s="28">
        <v>5</v>
      </c>
      <c r="X161" s="29">
        <f>SUM(V161,W161)</f>
        <v>27.5</v>
      </c>
      <c r="Y161" s="27">
        <f>X161*U161</f>
        <v>925622.5</v>
      </c>
      <c r="Z161" s="29">
        <f>Y161*100/$Y$237</f>
        <v>0.630739624708893</v>
      </c>
      <c r="AA161" s="30"/>
      <c r="AB161" s="30"/>
      <c r="AC161" s="30"/>
      <c r="AD161" s="30"/>
      <c r="AE161" s="30"/>
      <c r="AF161" s="30"/>
      <c r="AG161" s="30"/>
      <c r="AH161" s="30"/>
      <c r="AI161" s="30">
        <v>40</v>
      </c>
      <c r="AJ161" s="30">
        <v>40</v>
      </c>
      <c r="AK161" s="30">
        <v>30</v>
      </c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</row>
    <row r="162" ht="25.5" customHeight="1">
      <c r="A162" s="16"/>
      <c r="B162" t="s" s="17">
        <v>25</v>
      </c>
      <c r="C162" t="s" s="31">
        <v>90</v>
      </c>
      <c r="D162" t="s" s="32">
        <v>102</v>
      </c>
      <c r="E162" t="s" s="33">
        <v>103</v>
      </c>
      <c r="F162" t="s" s="21">
        <v>50</v>
      </c>
      <c r="G162" t="s" s="22">
        <v>46</v>
      </c>
      <c r="H162" s="23">
        <v>0</v>
      </c>
      <c r="I162" s="24">
        <v>3258</v>
      </c>
      <c r="J162" s="24">
        <v>4013</v>
      </c>
      <c r="K162" s="24">
        <v>1988</v>
      </c>
      <c r="L162" s="24">
        <v>1616</v>
      </c>
      <c r="M162" s="24">
        <v>1566</v>
      </c>
      <c r="N162" s="24">
        <v>1298</v>
      </c>
      <c r="O162" s="24">
        <v>1385</v>
      </c>
      <c r="P162" s="24">
        <v>1566</v>
      </c>
      <c r="Q162" s="24">
        <v>1298</v>
      </c>
      <c r="R162" s="24">
        <v>1897</v>
      </c>
      <c r="S162" s="24">
        <v>3057</v>
      </c>
      <c r="T162" s="25">
        <v>3057</v>
      </c>
      <c r="U162" s="26">
        <f>SUM(H162:T162)</f>
        <v>25999</v>
      </c>
      <c r="V162" s="27">
        <v>22</v>
      </c>
      <c r="W162" s="28">
        <v>5</v>
      </c>
      <c r="X162" s="29">
        <f>SUM(V162,W162)</f>
        <v>27</v>
      </c>
      <c r="Y162" s="27">
        <f>X162*U162</f>
        <v>701973</v>
      </c>
      <c r="Z162" s="29">
        <f>Y162*100/$Y$237</f>
        <v>0.478339913491489</v>
      </c>
      <c r="AA162" s="30"/>
      <c r="AB162" s="30"/>
      <c r="AC162" s="30"/>
      <c r="AD162" s="30"/>
      <c r="AE162" s="30"/>
      <c r="AF162" s="30"/>
      <c r="AG162" s="30"/>
      <c r="AH162" s="30"/>
      <c r="AI162" s="30">
        <v>40</v>
      </c>
      <c r="AJ162" s="30">
        <v>40</v>
      </c>
      <c r="AK162" s="30">
        <v>30</v>
      </c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</row>
    <row r="163" ht="25.5" customHeight="1">
      <c r="A163" s="16"/>
      <c r="B163" t="s" s="17">
        <v>25</v>
      </c>
      <c r="C163" t="s" s="31">
        <v>90</v>
      </c>
      <c r="D163" t="s" s="32">
        <v>102</v>
      </c>
      <c r="E163" t="s" s="33">
        <v>103</v>
      </c>
      <c r="F163" t="s" s="21">
        <v>51</v>
      </c>
      <c r="G163" t="s" s="22">
        <v>46</v>
      </c>
      <c r="H163" s="23">
        <v>0</v>
      </c>
      <c r="I163" s="24">
        <v>5618</v>
      </c>
      <c r="J163" s="24">
        <v>6470</v>
      </c>
      <c r="K163" s="24">
        <v>4435</v>
      </c>
      <c r="L163" s="24">
        <v>4937</v>
      </c>
      <c r="M163" s="24">
        <v>4801</v>
      </c>
      <c r="N163" s="24">
        <v>4031</v>
      </c>
      <c r="O163" s="24">
        <v>4257</v>
      </c>
      <c r="P163" s="24">
        <v>4801</v>
      </c>
      <c r="Q163" s="24">
        <v>4483</v>
      </c>
      <c r="R163" s="24">
        <v>8606</v>
      </c>
      <c r="S163" s="24">
        <v>5724</v>
      </c>
      <c r="T163" s="25">
        <v>5724</v>
      </c>
      <c r="U163" s="26">
        <f>SUM(H163:T163)</f>
        <v>63887</v>
      </c>
      <c r="V163" s="27">
        <v>22.5</v>
      </c>
      <c r="W163" s="28">
        <v>4.5</v>
      </c>
      <c r="X163" s="29">
        <f>SUM(V163,W163)</f>
        <v>27</v>
      </c>
      <c r="Y163" s="27">
        <f>X163*U163</f>
        <v>1724949</v>
      </c>
      <c r="Z163" s="29">
        <f>Y163*100/$Y$237</f>
        <v>1.17541836429212</v>
      </c>
      <c r="AA163" s="30"/>
      <c r="AB163" s="30"/>
      <c r="AC163" s="30"/>
      <c r="AD163" s="30"/>
      <c r="AE163" s="30"/>
      <c r="AF163" s="30"/>
      <c r="AG163" s="30"/>
      <c r="AH163" s="30"/>
      <c r="AI163" s="30">
        <v>40</v>
      </c>
      <c r="AJ163" s="30">
        <v>40</v>
      </c>
      <c r="AK163" s="30">
        <v>30</v>
      </c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</row>
    <row r="164" ht="25.5" customHeight="1">
      <c r="A164" s="16"/>
      <c r="B164" t="s" s="17">
        <v>25</v>
      </c>
      <c r="C164" t="s" s="31">
        <v>90</v>
      </c>
      <c r="D164" t="s" s="32">
        <v>102</v>
      </c>
      <c r="E164" t="s" s="33">
        <v>103</v>
      </c>
      <c r="F164" t="s" s="21">
        <v>52</v>
      </c>
      <c r="G164" t="s" s="22">
        <v>46</v>
      </c>
      <c r="H164" s="23">
        <v>0</v>
      </c>
      <c r="I164" s="24">
        <v>11006</v>
      </c>
      <c r="J164" s="24">
        <v>12634</v>
      </c>
      <c r="K164" s="24">
        <v>9508</v>
      </c>
      <c r="L164" s="24">
        <v>9283</v>
      </c>
      <c r="M164" s="24">
        <v>8994</v>
      </c>
      <c r="N164" s="24">
        <v>7616</v>
      </c>
      <c r="O164" s="24">
        <v>8021</v>
      </c>
      <c r="P164" s="24">
        <v>8994</v>
      </c>
      <c r="Q164" s="24">
        <v>6896</v>
      </c>
      <c r="R164" s="24">
        <v>12413</v>
      </c>
      <c r="S164" s="24">
        <v>5408</v>
      </c>
      <c r="T164" s="25">
        <v>5408</v>
      </c>
      <c r="U164" s="26">
        <f>SUM(H164:T164)</f>
        <v>106181</v>
      </c>
      <c r="V164" s="27">
        <v>22.5</v>
      </c>
      <c r="W164" s="28">
        <v>4.5</v>
      </c>
      <c r="X164" s="29">
        <f>SUM(V164,W164)</f>
        <v>27</v>
      </c>
      <c r="Y164" s="27">
        <f>X164*U164</f>
        <v>2866887</v>
      </c>
      <c r="Z164" s="29">
        <f>Y164*100/$Y$237</f>
        <v>1.95356015056117</v>
      </c>
      <c r="AA164" s="30"/>
      <c r="AB164" s="30"/>
      <c r="AC164" s="30"/>
      <c r="AD164" s="30"/>
      <c r="AE164" s="30"/>
      <c r="AF164" s="30"/>
      <c r="AG164" s="30"/>
      <c r="AH164" s="30"/>
      <c r="AI164" s="30">
        <v>40</v>
      </c>
      <c r="AJ164" s="30">
        <v>40</v>
      </c>
      <c r="AK164" s="30">
        <v>30</v>
      </c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</row>
    <row r="165" ht="25.5" customHeight="1">
      <c r="A165" s="16"/>
      <c r="B165" t="s" s="17">
        <v>25</v>
      </c>
      <c r="C165" t="s" s="31">
        <v>90</v>
      </c>
      <c r="D165" t="s" s="32">
        <v>102</v>
      </c>
      <c r="E165" t="s" s="33">
        <v>103</v>
      </c>
      <c r="F165" t="s" s="21">
        <v>53</v>
      </c>
      <c r="G165" t="s" s="22">
        <v>46</v>
      </c>
      <c r="H165" s="23">
        <v>0</v>
      </c>
      <c r="I165" s="24">
        <v>22276</v>
      </c>
      <c r="J165" s="24">
        <v>28130</v>
      </c>
      <c r="K165" s="24">
        <v>10258</v>
      </c>
      <c r="L165" s="24">
        <v>7489</v>
      </c>
      <c r="M165" s="24">
        <v>7296</v>
      </c>
      <c r="N165" s="24">
        <v>6201</v>
      </c>
      <c r="O165" s="24">
        <v>6523</v>
      </c>
      <c r="P165" s="24">
        <v>7296</v>
      </c>
      <c r="Q165" s="24">
        <v>6201</v>
      </c>
      <c r="R165" s="24">
        <v>13218</v>
      </c>
      <c r="S165" s="24">
        <v>12358</v>
      </c>
      <c r="T165" s="25">
        <v>12358</v>
      </c>
      <c r="U165" s="26">
        <f>SUM(H165:T165)</f>
        <v>139604</v>
      </c>
      <c r="V165" s="27">
        <v>22.5</v>
      </c>
      <c r="W165" s="28">
        <v>4.5</v>
      </c>
      <c r="X165" s="29">
        <f>SUM(V165,W165)</f>
        <v>27</v>
      </c>
      <c r="Y165" s="27">
        <f>X165*U165</f>
        <v>3769308</v>
      </c>
      <c r="Z165" s="29">
        <f>Y165*100/$Y$237</f>
        <v>2.56848976049332</v>
      </c>
      <c r="AA165" s="30"/>
      <c r="AB165" s="30"/>
      <c r="AC165" s="30"/>
      <c r="AD165" s="30"/>
      <c r="AE165" s="30"/>
      <c r="AF165" s="30"/>
      <c r="AG165" s="30"/>
      <c r="AH165" s="30"/>
      <c r="AI165" s="30">
        <v>40</v>
      </c>
      <c r="AJ165" s="30">
        <v>40</v>
      </c>
      <c r="AK165" s="30">
        <v>30</v>
      </c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</row>
    <row r="166" ht="25.5" customHeight="1">
      <c r="A166" s="16"/>
      <c r="B166" t="s" s="17">
        <v>25</v>
      </c>
      <c r="C166" t="s" s="31">
        <v>90</v>
      </c>
      <c r="D166" t="s" s="32">
        <v>102</v>
      </c>
      <c r="E166" t="s" s="33">
        <v>103</v>
      </c>
      <c r="F166" t="s" s="21">
        <v>54</v>
      </c>
      <c r="G166" t="s" s="22">
        <v>46</v>
      </c>
      <c r="H166" s="23">
        <v>0</v>
      </c>
      <c r="I166" s="24">
        <v>8827</v>
      </c>
      <c r="J166" s="24">
        <v>10086</v>
      </c>
      <c r="K166" s="24">
        <v>3448</v>
      </c>
      <c r="L166" s="24">
        <v>3355</v>
      </c>
      <c r="M166" s="24">
        <v>3271</v>
      </c>
      <c r="N166" s="24">
        <v>2797</v>
      </c>
      <c r="O166" s="24">
        <v>2937</v>
      </c>
      <c r="P166" s="24">
        <v>3271</v>
      </c>
      <c r="Q166" s="24">
        <v>2797</v>
      </c>
      <c r="R166" s="24">
        <v>8178</v>
      </c>
      <c r="S166" s="24">
        <v>4447</v>
      </c>
      <c r="T166" s="25">
        <v>4447</v>
      </c>
      <c r="U166" s="26">
        <f>SUM(H166:T166)</f>
        <v>57861</v>
      </c>
      <c r="V166" s="27">
        <v>22.5</v>
      </c>
      <c r="W166" s="28">
        <v>4.5</v>
      </c>
      <c r="X166" s="29">
        <f>SUM(V166,W166)</f>
        <v>27</v>
      </c>
      <c r="Y166" s="27">
        <f>X166*U166</f>
        <v>1562247</v>
      </c>
      <c r="Z166" s="29">
        <f>Y166*100/$Y$237</f>
        <v>1.06454962631374</v>
      </c>
      <c r="AA166" s="30"/>
      <c r="AB166" s="30"/>
      <c r="AC166" s="30"/>
      <c r="AD166" s="30"/>
      <c r="AE166" s="30"/>
      <c r="AF166" s="30"/>
      <c r="AG166" s="30"/>
      <c r="AH166" s="30"/>
      <c r="AI166" s="30">
        <v>40</v>
      </c>
      <c r="AJ166" s="30">
        <v>40</v>
      </c>
      <c r="AK166" s="30">
        <v>30</v>
      </c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</row>
    <row r="167" ht="25.5" customHeight="1">
      <c r="A167" s="16"/>
      <c r="B167" t="s" s="17">
        <v>25</v>
      </c>
      <c r="C167" t="s" s="31">
        <v>90</v>
      </c>
      <c r="D167" t="s" s="32">
        <v>102</v>
      </c>
      <c r="E167" t="s" s="33">
        <v>105</v>
      </c>
      <c r="F167" t="s" s="21">
        <v>104</v>
      </c>
      <c r="G167" t="s" s="22">
        <v>36</v>
      </c>
      <c r="H167" s="23">
        <v>0</v>
      </c>
      <c r="I167" s="24">
        <v>171</v>
      </c>
      <c r="J167" s="24">
        <v>202</v>
      </c>
      <c r="K167" s="24">
        <v>86</v>
      </c>
      <c r="L167" s="24">
        <v>95</v>
      </c>
      <c r="M167" s="24">
        <v>95</v>
      </c>
      <c r="N167" s="24">
        <v>95</v>
      </c>
      <c r="O167" s="24">
        <v>95</v>
      </c>
      <c r="P167" s="24">
        <v>95</v>
      </c>
      <c r="Q167" s="24">
        <v>95</v>
      </c>
      <c r="R167" s="24">
        <v>95</v>
      </c>
      <c r="S167" s="24">
        <v>94</v>
      </c>
      <c r="T167" s="25">
        <v>94</v>
      </c>
      <c r="U167" s="26">
        <f>SUM(H167:T167)</f>
        <v>1312</v>
      </c>
      <c r="V167" s="27">
        <v>2520</v>
      </c>
      <c r="W167" s="28">
        <v>265</v>
      </c>
      <c r="X167" s="29">
        <f>SUM(V167,W167)</f>
        <v>2785</v>
      </c>
      <c r="Y167" s="27">
        <f>X167*U167</f>
        <v>3653920</v>
      </c>
      <c r="Z167" s="29">
        <f>Y167*100/$Y$237</f>
        <v>2.48986182759853</v>
      </c>
      <c r="AA167" s="30"/>
      <c r="AB167" s="30"/>
      <c r="AC167" s="30"/>
      <c r="AD167" s="30"/>
      <c r="AE167" s="30"/>
      <c r="AF167" s="30"/>
      <c r="AG167" s="30"/>
      <c r="AH167" s="30"/>
      <c r="AI167" s="30">
        <v>40</v>
      </c>
      <c r="AJ167" s="30">
        <v>40</v>
      </c>
      <c r="AK167" s="30">
        <v>30</v>
      </c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</row>
    <row r="168" ht="25.5" customHeight="1">
      <c r="A168" s="16"/>
      <c r="B168" t="s" s="17">
        <v>25</v>
      </c>
      <c r="C168" t="s" s="31">
        <v>90</v>
      </c>
      <c r="D168" t="s" s="32">
        <v>102</v>
      </c>
      <c r="E168" t="s" s="33">
        <v>105</v>
      </c>
      <c r="F168" t="s" s="21">
        <v>44</v>
      </c>
      <c r="G168" t="s" s="22">
        <v>40</v>
      </c>
      <c r="H168" s="23">
        <v>0</v>
      </c>
      <c r="I168" s="24">
        <v>1017</v>
      </c>
      <c r="J168" s="24">
        <v>1187</v>
      </c>
      <c r="K168" s="24">
        <v>540</v>
      </c>
      <c r="L168" s="24">
        <v>540</v>
      </c>
      <c r="M168" s="24">
        <v>540</v>
      </c>
      <c r="N168" s="24">
        <v>540</v>
      </c>
      <c r="O168" s="24">
        <v>540</v>
      </c>
      <c r="P168" s="24">
        <v>540</v>
      </c>
      <c r="Q168" s="24">
        <v>540</v>
      </c>
      <c r="R168" s="24">
        <v>540</v>
      </c>
      <c r="S168" s="24">
        <v>561</v>
      </c>
      <c r="T168" s="25">
        <v>561</v>
      </c>
      <c r="U168" s="26">
        <f>SUM(H168:T168)</f>
        <v>7646</v>
      </c>
      <c r="V168" s="27">
        <v>210</v>
      </c>
      <c r="W168" s="28">
        <v>260</v>
      </c>
      <c r="X168" s="29">
        <f>SUM(V168,W168)</f>
        <v>470</v>
      </c>
      <c r="Y168" s="27">
        <f>X168*U168</f>
        <v>3593620</v>
      </c>
      <c r="Z168" s="29">
        <f>Y168*100/$Y$237</f>
        <v>2.44877207516711</v>
      </c>
      <c r="AA168" s="30"/>
      <c r="AB168" s="30"/>
      <c r="AC168" s="30"/>
      <c r="AD168" s="30"/>
      <c r="AE168" s="30"/>
      <c r="AF168" s="30"/>
      <c r="AG168" s="30"/>
      <c r="AH168" s="30"/>
      <c r="AI168" s="30">
        <v>40</v>
      </c>
      <c r="AJ168" s="30">
        <v>40</v>
      </c>
      <c r="AK168" s="30">
        <v>30</v>
      </c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</row>
    <row r="169" ht="25.5" customHeight="1">
      <c r="A169" s="16"/>
      <c r="B169" t="s" s="17">
        <v>25</v>
      </c>
      <c r="C169" t="s" s="31">
        <v>90</v>
      </c>
      <c r="D169" t="s" s="32">
        <v>102</v>
      </c>
      <c r="E169" t="s" s="33">
        <v>105</v>
      </c>
      <c r="F169" t="s" s="21">
        <v>45</v>
      </c>
      <c r="G169" t="s" s="22">
        <v>46</v>
      </c>
      <c r="H169" s="23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5">
        <v>0</v>
      </c>
      <c r="U169" s="26">
        <f>SUM(H169:T169)</f>
        <v>0</v>
      </c>
      <c r="V169" s="27">
        <v>24</v>
      </c>
      <c r="W169" s="28">
        <v>5.5</v>
      </c>
      <c r="X169" s="29">
        <f>SUM(V169,W169)</f>
        <v>29.5</v>
      </c>
      <c r="Y169" s="27">
        <f>X169*U169</f>
        <v>0</v>
      </c>
      <c r="Z169" s="29">
        <f>Y169*100/$Y$237</f>
        <v>0</v>
      </c>
      <c r="AA169" s="30"/>
      <c r="AB169" s="30"/>
      <c r="AC169" s="30"/>
      <c r="AD169" s="30"/>
      <c r="AE169" s="30"/>
      <c r="AF169" s="30"/>
      <c r="AG169" s="30"/>
      <c r="AH169" s="30"/>
      <c r="AI169" s="30">
        <v>40</v>
      </c>
      <c r="AJ169" s="30">
        <v>40</v>
      </c>
      <c r="AK169" s="30">
        <v>30</v>
      </c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</row>
    <row r="170" ht="25.5" customHeight="1">
      <c r="A170" s="16"/>
      <c r="B170" t="s" s="17">
        <v>25</v>
      </c>
      <c r="C170" t="s" s="31">
        <v>90</v>
      </c>
      <c r="D170" t="s" s="32">
        <v>102</v>
      </c>
      <c r="E170" t="s" s="33">
        <v>105</v>
      </c>
      <c r="F170" t="s" s="21">
        <v>47</v>
      </c>
      <c r="G170" t="s" s="22">
        <v>46</v>
      </c>
      <c r="H170" s="23">
        <v>0</v>
      </c>
      <c r="I170" s="24">
        <v>1227</v>
      </c>
      <c r="J170" s="24">
        <v>1430</v>
      </c>
      <c r="K170" s="24">
        <v>688</v>
      </c>
      <c r="L170" s="24">
        <v>614</v>
      </c>
      <c r="M170" s="24">
        <v>614</v>
      </c>
      <c r="N170" s="24">
        <v>614</v>
      </c>
      <c r="O170" s="24">
        <v>614</v>
      </c>
      <c r="P170" s="24">
        <v>614</v>
      </c>
      <c r="Q170" s="24">
        <v>614</v>
      </c>
      <c r="R170" s="24">
        <v>614</v>
      </c>
      <c r="S170" s="24">
        <v>622</v>
      </c>
      <c r="T170" s="25">
        <v>622</v>
      </c>
      <c r="U170" s="26">
        <f>SUM(H170:T170)</f>
        <v>8887</v>
      </c>
      <c r="V170" s="27">
        <v>23</v>
      </c>
      <c r="W170" s="28">
        <v>5.5</v>
      </c>
      <c r="X170" s="29">
        <f>SUM(V170,W170)</f>
        <v>28.5</v>
      </c>
      <c r="Y170" s="27">
        <f>X170*U170</f>
        <v>253279.5</v>
      </c>
      <c r="Z170" s="29">
        <f>Y170*100/$Y$237</f>
        <v>0.172590247942823</v>
      </c>
      <c r="AA170" s="30"/>
      <c r="AB170" s="30"/>
      <c r="AC170" s="30"/>
      <c r="AD170" s="30"/>
      <c r="AE170" s="30"/>
      <c r="AF170" s="30"/>
      <c r="AG170" s="30"/>
      <c r="AH170" s="30"/>
      <c r="AI170" s="30">
        <v>40</v>
      </c>
      <c r="AJ170" s="30">
        <v>40</v>
      </c>
      <c r="AK170" s="30">
        <v>30</v>
      </c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</row>
    <row r="171" ht="25.5" customHeight="1">
      <c r="A171" s="16"/>
      <c r="B171" t="s" s="17">
        <v>25</v>
      </c>
      <c r="C171" t="s" s="31">
        <v>90</v>
      </c>
      <c r="D171" t="s" s="32">
        <v>102</v>
      </c>
      <c r="E171" t="s" s="33">
        <v>105</v>
      </c>
      <c r="F171" t="s" s="21">
        <v>48</v>
      </c>
      <c r="G171" t="s" s="22">
        <v>46</v>
      </c>
      <c r="H171" s="23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5">
        <v>0</v>
      </c>
      <c r="U171" s="26">
        <f>SUM(H171:T171)</f>
        <v>0</v>
      </c>
      <c r="V171" s="27">
        <v>23</v>
      </c>
      <c r="W171" s="28">
        <v>5.5</v>
      </c>
      <c r="X171" s="29">
        <f>SUM(V171,W171)</f>
        <v>28.5</v>
      </c>
      <c r="Y171" s="27">
        <f>X171*U171</f>
        <v>0</v>
      </c>
      <c r="Z171" s="29">
        <f>Y171*100/$Y$237</f>
        <v>0</v>
      </c>
      <c r="AA171" s="30"/>
      <c r="AB171" s="30"/>
      <c r="AC171" s="30"/>
      <c r="AD171" s="30"/>
      <c r="AE171" s="30"/>
      <c r="AF171" s="30"/>
      <c r="AG171" s="30"/>
      <c r="AH171" s="30"/>
      <c r="AI171" s="30">
        <v>40</v>
      </c>
      <c r="AJ171" s="30">
        <v>40</v>
      </c>
      <c r="AK171" s="30">
        <v>30</v>
      </c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</row>
    <row r="172" ht="25.5" customHeight="1">
      <c r="A172" s="16"/>
      <c r="B172" t="s" s="17">
        <v>25</v>
      </c>
      <c r="C172" t="s" s="31">
        <v>90</v>
      </c>
      <c r="D172" t="s" s="32">
        <v>102</v>
      </c>
      <c r="E172" t="s" s="33">
        <v>105</v>
      </c>
      <c r="F172" t="s" s="21">
        <v>49</v>
      </c>
      <c r="G172" t="s" s="22">
        <v>46</v>
      </c>
      <c r="H172" s="23">
        <v>0</v>
      </c>
      <c r="I172" s="24">
        <v>7074</v>
      </c>
      <c r="J172" s="24">
        <v>8164</v>
      </c>
      <c r="K172" s="24">
        <v>3928</v>
      </c>
      <c r="L172" s="24">
        <v>3654</v>
      </c>
      <c r="M172" s="24">
        <v>3654</v>
      </c>
      <c r="N172" s="24">
        <v>3654</v>
      </c>
      <c r="O172" s="24">
        <v>3654</v>
      </c>
      <c r="P172" s="24">
        <v>3654</v>
      </c>
      <c r="Q172" s="24">
        <v>3654</v>
      </c>
      <c r="R172" s="24">
        <v>3654</v>
      </c>
      <c r="S172" s="24">
        <v>3918</v>
      </c>
      <c r="T172" s="25">
        <v>3918</v>
      </c>
      <c r="U172" s="26">
        <f>SUM(H172:T172)</f>
        <v>52580</v>
      </c>
      <c r="V172" s="27">
        <v>22.5</v>
      </c>
      <c r="W172" s="28">
        <v>5</v>
      </c>
      <c r="X172" s="29">
        <f>SUM(V172,W172)</f>
        <v>27.5</v>
      </c>
      <c r="Y172" s="27">
        <f>X172*U172</f>
        <v>1445950</v>
      </c>
      <c r="Z172" s="29">
        <f>Y172*100/$Y$237</f>
        <v>0.985302280733045</v>
      </c>
      <c r="AA172" s="30"/>
      <c r="AB172" s="30"/>
      <c r="AC172" s="30"/>
      <c r="AD172" s="30"/>
      <c r="AE172" s="30"/>
      <c r="AF172" s="30"/>
      <c r="AG172" s="30"/>
      <c r="AH172" s="30"/>
      <c r="AI172" s="30">
        <v>40</v>
      </c>
      <c r="AJ172" s="30">
        <v>40</v>
      </c>
      <c r="AK172" s="30">
        <v>30</v>
      </c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</row>
    <row r="173" ht="25.5" customHeight="1">
      <c r="A173" s="16"/>
      <c r="B173" t="s" s="17">
        <v>25</v>
      </c>
      <c r="C173" t="s" s="31">
        <v>90</v>
      </c>
      <c r="D173" t="s" s="32">
        <v>102</v>
      </c>
      <c r="E173" t="s" s="33">
        <v>105</v>
      </c>
      <c r="F173" t="s" s="21">
        <v>50</v>
      </c>
      <c r="G173" t="s" s="22">
        <v>46</v>
      </c>
      <c r="H173" s="23">
        <v>0</v>
      </c>
      <c r="I173" s="24">
        <v>3071</v>
      </c>
      <c r="J173" s="24">
        <v>3549</v>
      </c>
      <c r="K173" s="24">
        <v>1903</v>
      </c>
      <c r="L173" s="24">
        <v>1787</v>
      </c>
      <c r="M173" s="24">
        <v>1787</v>
      </c>
      <c r="N173" s="24">
        <v>1787</v>
      </c>
      <c r="O173" s="24">
        <v>1787</v>
      </c>
      <c r="P173" s="24">
        <v>1787</v>
      </c>
      <c r="Q173" s="24">
        <v>1787</v>
      </c>
      <c r="R173" s="24">
        <v>1787</v>
      </c>
      <c r="S173" s="24">
        <v>2061</v>
      </c>
      <c r="T173" s="25">
        <v>2061</v>
      </c>
      <c r="U173" s="26">
        <f>SUM(H173:T173)</f>
        <v>25154</v>
      </c>
      <c r="V173" s="27">
        <v>22</v>
      </c>
      <c r="W173" s="28">
        <v>5</v>
      </c>
      <c r="X173" s="29">
        <f>SUM(V173,W173)</f>
        <v>27</v>
      </c>
      <c r="Y173" s="27">
        <f>X173*U173</f>
        <v>679158</v>
      </c>
      <c r="Z173" s="29">
        <f>Y173*100/$Y$237</f>
        <v>0.462793268355125</v>
      </c>
      <c r="AA173" s="30"/>
      <c r="AB173" s="30"/>
      <c r="AC173" s="30"/>
      <c r="AD173" s="30"/>
      <c r="AE173" s="30"/>
      <c r="AF173" s="30"/>
      <c r="AG173" s="30"/>
      <c r="AH173" s="30"/>
      <c r="AI173" s="30">
        <v>40</v>
      </c>
      <c r="AJ173" s="30">
        <v>40</v>
      </c>
      <c r="AK173" s="30">
        <v>30</v>
      </c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</row>
    <row r="174" ht="25.5" customHeight="1">
      <c r="A174" s="16"/>
      <c r="B174" t="s" s="17">
        <v>25</v>
      </c>
      <c r="C174" t="s" s="31">
        <v>90</v>
      </c>
      <c r="D174" t="s" s="32">
        <v>102</v>
      </c>
      <c r="E174" t="s" s="33">
        <v>105</v>
      </c>
      <c r="F174" t="s" s="21">
        <v>51</v>
      </c>
      <c r="G174" t="s" s="22">
        <v>46</v>
      </c>
      <c r="H174" s="23">
        <v>0</v>
      </c>
      <c r="I174" s="24">
        <v>5162</v>
      </c>
      <c r="J174" s="24">
        <v>5966</v>
      </c>
      <c r="K174" s="24">
        <v>2256</v>
      </c>
      <c r="L174" s="24">
        <v>2252</v>
      </c>
      <c r="M174" s="24">
        <v>2252</v>
      </c>
      <c r="N174" s="24">
        <v>2252</v>
      </c>
      <c r="O174" s="24">
        <v>2252</v>
      </c>
      <c r="P174" s="24">
        <v>2252</v>
      </c>
      <c r="Q174" s="24">
        <v>2252</v>
      </c>
      <c r="R174" s="24">
        <v>2252</v>
      </c>
      <c r="S174" s="24">
        <v>2605</v>
      </c>
      <c r="T174" s="25">
        <v>2605</v>
      </c>
      <c r="U174" s="26">
        <f>SUM(H174:T174)</f>
        <v>34358</v>
      </c>
      <c r="V174" s="27">
        <v>22.5</v>
      </c>
      <c r="W174" s="28">
        <v>4.5</v>
      </c>
      <c r="X174" s="29">
        <f>SUM(V174,W174)</f>
        <v>27</v>
      </c>
      <c r="Y174" s="27">
        <f>X174*U174</f>
        <v>927666</v>
      </c>
      <c r="Z174" s="29">
        <f>Y174*100/$Y$237</f>
        <v>0.6321321107635131</v>
      </c>
      <c r="AA174" s="30"/>
      <c r="AB174" s="30"/>
      <c r="AC174" s="30"/>
      <c r="AD174" s="30"/>
      <c r="AE174" s="30"/>
      <c r="AF174" s="30"/>
      <c r="AG174" s="30"/>
      <c r="AH174" s="30"/>
      <c r="AI174" s="30">
        <v>40</v>
      </c>
      <c r="AJ174" s="30">
        <v>40</v>
      </c>
      <c r="AK174" s="30">
        <v>30</v>
      </c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</row>
    <row r="175" ht="25.5" customHeight="1">
      <c r="A175" s="16"/>
      <c r="B175" t="s" s="17">
        <v>25</v>
      </c>
      <c r="C175" t="s" s="31">
        <v>90</v>
      </c>
      <c r="D175" t="s" s="32">
        <v>102</v>
      </c>
      <c r="E175" t="s" s="33">
        <v>105</v>
      </c>
      <c r="F175" t="s" s="21">
        <v>52</v>
      </c>
      <c r="G175" t="s" s="22">
        <v>46</v>
      </c>
      <c r="H175" s="23">
        <v>0</v>
      </c>
      <c r="I175" s="24">
        <v>13891</v>
      </c>
      <c r="J175" s="24">
        <v>15917</v>
      </c>
      <c r="K175" s="24">
        <v>6905</v>
      </c>
      <c r="L175" s="24">
        <v>5951</v>
      </c>
      <c r="M175" s="24">
        <v>5951</v>
      </c>
      <c r="N175" s="24">
        <v>5951</v>
      </c>
      <c r="O175" s="24">
        <v>5951</v>
      </c>
      <c r="P175" s="24">
        <v>5951</v>
      </c>
      <c r="Q175" s="24">
        <v>5951</v>
      </c>
      <c r="R175" s="24">
        <v>5951</v>
      </c>
      <c r="S175" s="24">
        <v>5426</v>
      </c>
      <c r="T175" s="25">
        <v>5426</v>
      </c>
      <c r="U175" s="26">
        <f>SUM(H175:T175)</f>
        <v>89222</v>
      </c>
      <c r="V175" s="27">
        <v>22.5</v>
      </c>
      <c r="W175" s="28">
        <v>4.5</v>
      </c>
      <c r="X175" s="29">
        <f>SUM(V175,W175)</f>
        <v>27</v>
      </c>
      <c r="Y175" s="27">
        <f>X175*U175</f>
        <v>2408994</v>
      </c>
      <c r="Z175" s="29">
        <f>Y175*100/$Y$237</f>
        <v>1.64154174243385</v>
      </c>
      <c r="AA175" s="30"/>
      <c r="AB175" s="30"/>
      <c r="AC175" s="30"/>
      <c r="AD175" s="30"/>
      <c r="AE175" s="30"/>
      <c r="AF175" s="30"/>
      <c r="AG175" s="30"/>
      <c r="AH175" s="30"/>
      <c r="AI175" s="30">
        <v>40</v>
      </c>
      <c r="AJ175" s="30">
        <v>40</v>
      </c>
      <c r="AK175" s="30">
        <v>30</v>
      </c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</row>
    <row r="176" ht="25.5" customHeight="1">
      <c r="A176" s="16"/>
      <c r="B176" t="s" s="17">
        <v>25</v>
      </c>
      <c r="C176" t="s" s="31">
        <v>90</v>
      </c>
      <c r="D176" t="s" s="32">
        <v>102</v>
      </c>
      <c r="E176" t="s" s="33">
        <v>105</v>
      </c>
      <c r="F176" t="s" s="21">
        <v>53</v>
      </c>
      <c r="G176" t="s" s="22">
        <v>46</v>
      </c>
      <c r="H176" s="23">
        <v>0</v>
      </c>
      <c r="I176" s="24">
        <v>2911</v>
      </c>
      <c r="J176" s="24">
        <v>2971</v>
      </c>
      <c r="K176" s="24">
        <v>624</v>
      </c>
      <c r="L176" s="24">
        <v>520</v>
      </c>
      <c r="M176" s="24">
        <v>520</v>
      </c>
      <c r="N176" s="24">
        <v>520</v>
      </c>
      <c r="O176" s="24">
        <v>520</v>
      </c>
      <c r="P176" s="24">
        <v>520</v>
      </c>
      <c r="Q176" s="24">
        <v>520</v>
      </c>
      <c r="R176" s="24">
        <v>520</v>
      </c>
      <c r="S176" s="24">
        <v>0</v>
      </c>
      <c r="T176" s="25">
        <v>0</v>
      </c>
      <c r="U176" s="26">
        <f>SUM(H176:T176)</f>
        <v>10146</v>
      </c>
      <c r="V176" s="27">
        <v>22.5</v>
      </c>
      <c r="W176" s="28">
        <v>4.5</v>
      </c>
      <c r="X176" s="29">
        <f>SUM(V176,W176)</f>
        <v>27</v>
      </c>
      <c r="Y176" s="27">
        <f>X176*U176</f>
        <v>273942</v>
      </c>
      <c r="Z176" s="29">
        <f>Y176*100/$Y$237</f>
        <v>0.186670132016025</v>
      </c>
      <c r="AA176" s="30"/>
      <c r="AB176" s="30"/>
      <c r="AC176" s="30"/>
      <c r="AD176" s="30"/>
      <c r="AE176" s="30"/>
      <c r="AF176" s="30"/>
      <c r="AG176" s="30"/>
      <c r="AH176" s="30"/>
      <c r="AI176" s="30">
        <v>40</v>
      </c>
      <c r="AJ176" s="30">
        <v>40</v>
      </c>
      <c r="AK176" s="30">
        <v>30</v>
      </c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</row>
    <row r="177" ht="25.5" customHeight="1">
      <c r="A177" s="16"/>
      <c r="B177" t="s" s="17">
        <v>25</v>
      </c>
      <c r="C177" t="s" s="31">
        <v>90</v>
      </c>
      <c r="D177" t="s" s="32">
        <v>102</v>
      </c>
      <c r="E177" t="s" s="33">
        <v>105</v>
      </c>
      <c r="F177" t="s" s="21">
        <v>54</v>
      </c>
      <c r="G177" t="s" s="22">
        <v>46</v>
      </c>
      <c r="H177" s="23">
        <v>0</v>
      </c>
      <c r="I177" s="24">
        <v>813</v>
      </c>
      <c r="J177" s="24">
        <v>912</v>
      </c>
      <c r="K177" s="24">
        <v>540</v>
      </c>
      <c r="L177" s="24">
        <v>342</v>
      </c>
      <c r="M177" s="24">
        <v>342</v>
      </c>
      <c r="N177" s="24">
        <v>342</v>
      </c>
      <c r="O177" s="24">
        <v>342</v>
      </c>
      <c r="P177" s="24">
        <v>342</v>
      </c>
      <c r="Q177" s="24">
        <v>342</v>
      </c>
      <c r="R177" s="24">
        <v>342</v>
      </c>
      <c r="S177" s="24">
        <v>465</v>
      </c>
      <c r="T177" s="25">
        <v>465</v>
      </c>
      <c r="U177" s="26">
        <f>SUM(H177:T177)</f>
        <v>5589</v>
      </c>
      <c r="V177" s="27">
        <v>22.5</v>
      </c>
      <c r="W177" s="28">
        <v>4.5</v>
      </c>
      <c r="X177" s="29">
        <f>SUM(V177,W177)</f>
        <v>27</v>
      </c>
      <c r="Y177" s="27">
        <f>X177*U177</f>
        <v>150903</v>
      </c>
      <c r="Z177" s="29">
        <f>Y177*100/$Y$237</f>
        <v>0.10282863865933</v>
      </c>
      <c r="AA177" s="30"/>
      <c r="AB177" s="30"/>
      <c r="AC177" s="30"/>
      <c r="AD177" s="30"/>
      <c r="AE177" s="30"/>
      <c r="AF177" s="30"/>
      <c r="AG177" s="30"/>
      <c r="AH177" s="30"/>
      <c r="AI177" s="30">
        <v>40</v>
      </c>
      <c r="AJ177" s="30">
        <v>40</v>
      </c>
      <c r="AK177" s="30">
        <v>30</v>
      </c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</row>
    <row r="178" ht="25.5" customHeight="1">
      <c r="A178" s="16"/>
      <c r="B178" t="s" s="17">
        <v>25</v>
      </c>
      <c r="C178" t="s" s="31">
        <v>90</v>
      </c>
      <c r="D178" t="s" s="32">
        <v>106</v>
      </c>
      <c r="E178" t="s" s="33">
        <v>107</v>
      </c>
      <c r="F178" t="s" s="21">
        <v>43</v>
      </c>
      <c r="G178" t="s" s="22">
        <v>36</v>
      </c>
      <c r="H178" s="23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5"/>
      <c r="U178" s="26">
        <f>SUM(H178:T178)</f>
        <v>0</v>
      </c>
      <c r="V178" s="27">
        <v>2060</v>
      </c>
      <c r="W178" s="28">
        <v>265</v>
      </c>
      <c r="X178" s="29">
        <f>SUM(V178,W178)</f>
        <v>2325</v>
      </c>
      <c r="Y178" s="27">
        <f>X178*U178</f>
        <v>0</v>
      </c>
      <c r="Z178" s="29">
        <f>Y178*100/$Y$237</f>
        <v>0</v>
      </c>
      <c r="AA178" s="30"/>
      <c r="AB178" s="30"/>
      <c r="AC178" s="30"/>
      <c r="AD178" s="30"/>
      <c r="AE178" s="30"/>
      <c r="AF178" s="30"/>
      <c r="AG178" s="30"/>
      <c r="AH178" s="30"/>
      <c r="AI178" s="30">
        <v>40</v>
      </c>
      <c r="AJ178" s="30">
        <v>40</v>
      </c>
      <c r="AK178" s="30">
        <v>30</v>
      </c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</row>
    <row r="179" ht="25.5" customHeight="1">
      <c r="A179" s="16"/>
      <c r="B179" t="s" s="17">
        <v>25</v>
      </c>
      <c r="C179" t="s" s="31">
        <v>90</v>
      </c>
      <c r="D179" t="s" s="32">
        <v>106</v>
      </c>
      <c r="E179" t="s" s="33">
        <v>107</v>
      </c>
      <c r="F179" t="s" s="21">
        <v>44</v>
      </c>
      <c r="G179" t="s" s="22">
        <v>40</v>
      </c>
      <c r="H179" s="23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5"/>
      <c r="U179" s="26">
        <f>SUM(H179:T179)</f>
        <v>0</v>
      </c>
      <c r="V179" s="27">
        <v>210</v>
      </c>
      <c r="W179" s="28">
        <v>260</v>
      </c>
      <c r="X179" s="29">
        <f>SUM(V179,W179)</f>
        <v>470</v>
      </c>
      <c r="Y179" s="27">
        <f>X179*U179</f>
        <v>0</v>
      </c>
      <c r="Z179" s="29">
        <f>Y179*100/$Y$237</f>
        <v>0</v>
      </c>
      <c r="AA179" s="30"/>
      <c r="AB179" s="30"/>
      <c r="AC179" s="30"/>
      <c r="AD179" s="30"/>
      <c r="AE179" s="30"/>
      <c r="AF179" s="30"/>
      <c r="AG179" s="30"/>
      <c r="AH179" s="30"/>
      <c r="AI179" s="30">
        <v>40</v>
      </c>
      <c r="AJ179" s="30">
        <v>40</v>
      </c>
      <c r="AK179" s="30">
        <v>30</v>
      </c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</row>
    <row r="180" ht="25.5" customHeight="1">
      <c r="A180" s="16"/>
      <c r="B180" t="s" s="17">
        <v>25</v>
      </c>
      <c r="C180" t="s" s="31">
        <v>90</v>
      </c>
      <c r="D180" t="s" s="32">
        <v>106</v>
      </c>
      <c r="E180" t="s" s="33">
        <v>107</v>
      </c>
      <c r="F180" t="s" s="21">
        <v>45</v>
      </c>
      <c r="G180" t="s" s="22">
        <v>46</v>
      </c>
      <c r="H180" s="23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5"/>
      <c r="U180" s="26">
        <f>SUM(H180:T180)</f>
        <v>0</v>
      </c>
      <c r="V180" s="27">
        <v>24</v>
      </c>
      <c r="W180" s="28">
        <v>5.5</v>
      </c>
      <c r="X180" s="29">
        <f>SUM(V180,W180)</f>
        <v>29.5</v>
      </c>
      <c r="Y180" s="27">
        <f>X180*U180</f>
        <v>0</v>
      </c>
      <c r="Z180" s="29">
        <f>Y180*100/$Y$237</f>
        <v>0</v>
      </c>
      <c r="AA180" s="30"/>
      <c r="AB180" s="30"/>
      <c r="AC180" s="30"/>
      <c r="AD180" s="30"/>
      <c r="AE180" s="30"/>
      <c r="AF180" s="30"/>
      <c r="AG180" s="30"/>
      <c r="AH180" s="30"/>
      <c r="AI180" s="30">
        <v>40</v>
      </c>
      <c r="AJ180" s="30">
        <v>40</v>
      </c>
      <c r="AK180" s="30">
        <v>30</v>
      </c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</row>
    <row r="181" ht="25.5" customHeight="1">
      <c r="A181" s="16"/>
      <c r="B181" t="s" s="17">
        <v>25</v>
      </c>
      <c r="C181" t="s" s="31">
        <v>90</v>
      </c>
      <c r="D181" t="s" s="32">
        <v>106</v>
      </c>
      <c r="E181" t="s" s="33">
        <v>107</v>
      </c>
      <c r="F181" t="s" s="21">
        <v>47</v>
      </c>
      <c r="G181" t="s" s="22">
        <v>46</v>
      </c>
      <c r="H181" s="23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5"/>
      <c r="U181" s="26">
        <f>SUM(H181:T181)</f>
        <v>0</v>
      </c>
      <c r="V181" s="27">
        <v>23</v>
      </c>
      <c r="W181" s="28">
        <v>5.5</v>
      </c>
      <c r="X181" s="29">
        <f>SUM(V181,W181)</f>
        <v>28.5</v>
      </c>
      <c r="Y181" s="27">
        <f>X181*U181</f>
        <v>0</v>
      </c>
      <c r="Z181" s="29">
        <f>Y181*100/$Y$237</f>
        <v>0</v>
      </c>
      <c r="AA181" s="30"/>
      <c r="AB181" s="30"/>
      <c r="AC181" s="30"/>
      <c r="AD181" s="30"/>
      <c r="AE181" s="30"/>
      <c r="AF181" s="30"/>
      <c r="AG181" s="30"/>
      <c r="AH181" s="30"/>
      <c r="AI181" s="30">
        <v>40</v>
      </c>
      <c r="AJ181" s="30">
        <v>40</v>
      </c>
      <c r="AK181" s="30">
        <v>30</v>
      </c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</row>
    <row r="182" ht="25.5" customHeight="1">
      <c r="A182" s="16"/>
      <c r="B182" t="s" s="17">
        <v>25</v>
      </c>
      <c r="C182" t="s" s="31">
        <v>90</v>
      </c>
      <c r="D182" t="s" s="32">
        <v>106</v>
      </c>
      <c r="E182" t="s" s="33">
        <v>107</v>
      </c>
      <c r="F182" t="s" s="21">
        <v>48</v>
      </c>
      <c r="G182" t="s" s="22">
        <v>46</v>
      </c>
      <c r="H182" s="23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5"/>
      <c r="U182" s="26">
        <f>SUM(H182:T182)</f>
        <v>0</v>
      </c>
      <c r="V182" s="27">
        <v>23</v>
      </c>
      <c r="W182" s="28">
        <v>5.5</v>
      </c>
      <c r="X182" s="29">
        <f>SUM(V182,W182)</f>
        <v>28.5</v>
      </c>
      <c r="Y182" s="27">
        <f>X182*U182</f>
        <v>0</v>
      </c>
      <c r="Z182" s="29">
        <f>Y182*100/$Y$237</f>
        <v>0</v>
      </c>
      <c r="AA182" s="30"/>
      <c r="AB182" s="30"/>
      <c r="AC182" s="30"/>
      <c r="AD182" s="30"/>
      <c r="AE182" s="30"/>
      <c r="AF182" s="30"/>
      <c r="AG182" s="30"/>
      <c r="AH182" s="30"/>
      <c r="AI182" s="30">
        <v>40</v>
      </c>
      <c r="AJ182" s="30">
        <v>40</v>
      </c>
      <c r="AK182" s="30">
        <v>30</v>
      </c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</row>
    <row r="183" ht="25.5" customHeight="1">
      <c r="A183" s="16"/>
      <c r="B183" t="s" s="17">
        <v>25</v>
      </c>
      <c r="C183" t="s" s="31">
        <v>90</v>
      </c>
      <c r="D183" t="s" s="32">
        <v>106</v>
      </c>
      <c r="E183" t="s" s="33">
        <v>107</v>
      </c>
      <c r="F183" t="s" s="21">
        <v>49</v>
      </c>
      <c r="G183" t="s" s="22">
        <v>46</v>
      </c>
      <c r="H183" s="23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5"/>
      <c r="U183" s="26">
        <f>SUM(H183:T183)</f>
        <v>0</v>
      </c>
      <c r="V183" s="27">
        <v>22.5</v>
      </c>
      <c r="W183" s="28">
        <v>5</v>
      </c>
      <c r="X183" s="29">
        <f>SUM(V183,W183)</f>
        <v>27.5</v>
      </c>
      <c r="Y183" s="27">
        <f>X183*U183</f>
        <v>0</v>
      </c>
      <c r="Z183" s="29">
        <f>Y183*100/$Y$237</f>
        <v>0</v>
      </c>
      <c r="AA183" s="30"/>
      <c r="AB183" s="30"/>
      <c r="AC183" s="30"/>
      <c r="AD183" s="30"/>
      <c r="AE183" s="30"/>
      <c r="AF183" s="30"/>
      <c r="AG183" s="30"/>
      <c r="AH183" s="30"/>
      <c r="AI183" s="30">
        <v>40</v>
      </c>
      <c r="AJ183" s="30">
        <v>40</v>
      </c>
      <c r="AK183" s="30">
        <v>30</v>
      </c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</row>
    <row r="184" ht="25.5" customHeight="1">
      <c r="A184" s="16"/>
      <c r="B184" t="s" s="17">
        <v>25</v>
      </c>
      <c r="C184" t="s" s="31">
        <v>90</v>
      </c>
      <c r="D184" t="s" s="32">
        <v>106</v>
      </c>
      <c r="E184" t="s" s="33">
        <v>107</v>
      </c>
      <c r="F184" t="s" s="21">
        <v>50</v>
      </c>
      <c r="G184" t="s" s="22">
        <v>46</v>
      </c>
      <c r="H184" s="23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5"/>
      <c r="U184" s="26">
        <f>SUM(H184:T184)</f>
        <v>0</v>
      </c>
      <c r="V184" s="27">
        <v>22</v>
      </c>
      <c r="W184" s="28">
        <v>5</v>
      </c>
      <c r="X184" s="29">
        <f>SUM(V184,W184)</f>
        <v>27</v>
      </c>
      <c r="Y184" s="27">
        <f>X184*U184</f>
        <v>0</v>
      </c>
      <c r="Z184" s="29">
        <f>Y184*100/$Y$237</f>
        <v>0</v>
      </c>
      <c r="AA184" s="30"/>
      <c r="AB184" s="30"/>
      <c r="AC184" s="30"/>
      <c r="AD184" s="30"/>
      <c r="AE184" s="30"/>
      <c r="AF184" s="30"/>
      <c r="AG184" s="30"/>
      <c r="AH184" s="30"/>
      <c r="AI184" s="30">
        <v>40</v>
      </c>
      <c r="AJ184" s="30">
        <v>40</v>
      </c>
      <c r="AK184" s="30">
        <v>30</v>
      </c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</row>
    <row r="185" ht="25.5" customHeight="1">
      <c r="A185" s="16"/>
      <c r="B185" t="s" s="17">
        <v>25</v>
      </c>
      <c r="C185" t="s" s="31">
        <v>90</v>
      </c>
      <c r="D185" t="s" s="32">
        <v>106</v>
      </c>
      <c r="E185" t="s" s="33">
        <v>107</v>
      </c>
      <c r="F185" t="s" s="21">
        <v>51</v>
      </c>
      <c r="G185" t="s" s="22">
        <v>46</v>
      </c>
      <c r="H185" s="23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5"/>
      <c r="U185" s="26">
        <f>SUM(H185:T185)</f>
        <v>0</v>
      </c>
      <c r="V185" s="27">
        <v>22.5</v>
      </c>
      <c r="W185" s="28">
        <v>4.5</v>
      </c>
      <c r="X185" s="29">
        <f>SUM(V185,W185)</f>
        <v>27</v>
      </c>
      <c r="Y185" s="27">
        <f>X185*U185</f>
        <v>0</v>
      </c>
      <c r="Z185" s="29">
        <f>Y185*100/$Y$237</f>
        <v>0</v>
      </c>
      <c r="AA185" s="30"/>
      <c r="AB185" s="30"/>
      <c r="AC185" s="30"/>
      <c r="AD185" s="30"/>
      <c r="AE185" s="30"/>
      <c r="AF185" s="30"/>
      <c r="AG185" s="30"/>
      <c r="AH185" s="30"/>
      <c r="AI185" s="30">
        <v>40</v>
      </c>
      <c r="AJ185" s="30">
        <v>40</v>
      </c>
      <c r="AK185" s="30">
        <v>30</v>
      </c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</row>
    <row r="186" ht="25.5" customHeight="1">
      <c r="A186" s="16"/>
      <c r="B186" t="s" s="17">
        <v>25</v>
      </c>
      <c r="C186" t="s" s="31">
        <v>90</v>
      </c>
      <c r="D186" t="s" s="32">
        <v>106</v>
      </c>
      <c r="E186" t="s" s="33">
        <v>107</v>
      </c>
      <c r="F186" t="s" s="21">
        <v>52</v>
      </c>
      <c r="G186" t="s" s="22">
        <v>46</v>
      </c>
      <c r="H186" s="23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5"/>
      <c r="U186" s="26">
        <f>SUM(H186:T186)</f>
        <v>0</v>
      </c>
      <c r="V186" s="27">
        <v>22.5</v>
      </c>
      <c r="W186" s="28">
        <v>4.5</v>
      </c>
      <c r="X186" s="29">
        <f>SUM(V186,W186)</f>
        <v>27</v>
      </c>
      <c r="Y186" s="27">
        <f>X186*U186</f>
        <v>0</v>
      </c>
      <c r="Z186" s="29">
        <f>Y186*100/$Y$237</f>
        <v>0</v>
      </c>
      <c r="AA186" s="30"/>
      <c r="AB186" s="30"/>
      <c r="AC186" s="30"/>
      <c r="AD186" s="30"/>
      <c r="AE186" s="30"/>
      <c r="AF186" s="30"/>
      <c r="AG186" s="30"/>
      <c r="AH186" s="30"/>
      <c r="AI186" s="30">
        <v>40</v>
      </c>
      <c r="AJ186" s="30">
        <v>40</v>
      </c>
      <c r="AK186" s="30">
        <v>30</v>
      </c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</row>
    <row r="187" ht="25.5" customHeight="1">
      <c r="A187" s="16"/>
      <c r="B187" t="s" s="17">
        <v>25</v>
      </c>
      <c r="C187" t="s" s="31">
        <v>90</v>
      </c>
      <c r="D187" t="s" s="32">
        <v>106</v>
      </c>
      <c r="E187" t="s" s="33">
        <v>107</v>
      </c>
      <c r="F187" t="s" s="21">
        <v>53</v>
      </c>
      <c r="G187" t="s" s="22">
        <v>46</v>
      </c>
      <c r="H187" s="23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5"/>
      <c r="U187" s="26">
        <f>SUM(H187:T187)</f>
        <v>0</v>
      </c>
      <c r="V187" s="27">
        <v>22.5</v>
      </c>
      <c r="W187" s="28">
        <v>4.5</v>
      </c>
      <c r="X187" s="29">
        <f>SUM(V187,W187)</f>
        <v>27</v>
      </c>
      <c r="Y187" s="27">
        <f>X187*U187</f>
        <v>0</v>
      </c>
      <c r="Z187" s="29">
        <f>Y187*100/$Y$237</f>
        <v>0</v>
      </c>
      <c r="AA187" s="30"/>
      <c r="AB187" s="30"/>
      <c r="AC187" s="30"/>
      <c r="AD187" s="30"/>
      <c r="AE187" s="30"/>
      <c r="AF187" s="30"/>
      <c r="AG187" s="30"/>
      <c r="AH187" s="30"/>
      <c r="AI187" s="30">
        <v>40</v>
      </c>
      <c r="AJ187" s="30">
        <v>40</v>
      </c>
      <c r="AK187" s="30">
        <v>30</v>
      </c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</row>
    <row r="188" ht="25.5" customHeight="1">
      <c r="A188" s="16"/>
      <c r="B188" t="s" s="17">
        <v>25</v>
      </c>
      <c r="C188" t="s" s="31">
        <v>90</v>
      </c>
      <c r="D188" t="s" s="32">
        <v>106</v>
      </c>
      <c r="E188" t="s" s="33">
        <v>107</v>
      </c>
      <c r="F188" t="s" s="21">
        <v>54</v>
      </c>
      <c r="G188" t="s" s="22">
        <v>46</v>
      </c>
      <c r="H188" s="23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5"/>
      <c r="U188" s="26">
        <f>SUM(H188:T188)</f>
        <v>0</v>
      </c>
      <c r="V188" s="27">
        <v>22.5</v>
      </c>
      <c r="W188" s="28">
        <v>4.5</v>
      </c>
      <c r="X188" s="29">
        <f>SUM(V188,W188)</f>
        <v>27</v>
      </c>
      <c r="Y188" s="27">
        <f>X188*U188</f>
        <v>0</v>
      </c>
      <c r="Z188" s="29">
        <f>Y188*100/$Y$237</f>
        <v>0</v>
      </c>
      <c r="AA188" s="30"/>
      <c r="AB188" s="30"/>
      <c r="AC188" s="30"/>
      <c r="AD188" s="30"/>
      <c r="AE188" s="30"/>
      <c r="AF188" s="30"/>
      <c r="AG188" s="30"/>
      <c r="AH188" s="30"/>
      <c r="AI188" s="30">
        <v>40</v>
      </c>
      <c r="AJ188" s="30">
        <v>40</v>
      </c>
      <c r="AK188" s="30">
        <v>30</v>
      </c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</row>
    <row r="189" ht="25.5" customHeight="1">
      <c r="A189" s="16"/>
      <c r="B189" t="s" s="17">
        <v>25</v>
      </c>
      <c r="C189" t="s" s="31">
        <v>90</v>
      </c>
      <c r="D189" t="s" s="32">
        <v>106</v>
      </c>
      <c r="E189" t="s" s="33">
        <v>108</v>
      </c>
      <c r="F189" t="s" s="21">
        <v>81</v>
      </c>
      <c r="G189" t="s" s="22">
        <v>40</v>
      </c>
      <c r="H189" s="23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5"/>
      <c r="U189" s="26">
        <f>SUM(H189:T189)</f>
        <v>0</v>
      </c>
      <c r="V189" s="27">
        <v>0</v>
      </c>
      <c r="W189" s="28">
        <v>0</v>
      </c>
      <c r="X189" s="29">
        <f>SUM(V189,W189)</f>
        <v>0</v>
      </c>
      <c r="Y189" s="27">
        <f>X189*U189</f>
        <v>0</v>
      </c>
      <c r="Z189" s="29">
        <f>Y189*100/$Y$237</f>
        <v>0</v>
      </c>
      <c r="AA189" s="30"/>
      <c r="AB189" s="30"/>
      <c r="AC189" s="30"/>
      <c r="AD189" s="30"/>
      <c r="AE189" s="30"/>
      <c r="AF189" s="30"/>
      <c r="AG189" s="30"/>
      <c r="AH189" s="30"/>
      <c r="AI189" s="30">
        <v>40</v>
      </c>
      <c r="AJ189" s="30">
        <v>40</v>
      </c>
      <c r="AK189" s="30">
        <v>30</v>
      </c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</row>
    <row r="190" ht="25.5" customHeight="1">
      <c r="A190" s="16"/>
      <c r="B190" t="s" s="17">
        <v>25</v>
      </c>
      <c r="C190" t="s" s="31">
        <v>90</v>
      </c>
      <c r="D190" t="s" s="32">
        <v>106</v>
      </c>
      <c r="E190" t="s" s="33">
        <v>108</v>
      </c>
      <c r="F190" t="s" s="21">
        <v>87</v>
      </c>
      <c r="G190" t="s" s="22">
        <v>72</v>
      </c>
      <c r="H190" s="23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5"/>
      <c r="U190" s="26">
        <f>SUM(H190:T190)</f>
        <v>0</v>
      </c>
      <c r="V190" s="27">
        <v>0</v>
      </c>
      <c r="W190" s="28">
        <v>0</v>
      </c>
      <c r="X190" s="29">
        <f>SUM(V190,W190)</f>
        <v>0</v>
      </c>
      <c r="Y190" s="27">
        <f>X190*U190</f>
        <v>0</v>
      </c>
      <c r="Z190" s="29">
        <f>Y190*100/$Y$237</f>
        <v>0</v>
      </c>
      <c r="AA190" s="30"/>
      <c r="AB190" s="30"/>
      <c r="AC190" s="30"/>
      <c r="AD190" s="30"/>
      <c r="AE190" s="30"/>
      <c r="AF190" s="30"/>
      <c r="AG190" s="30"/>
      <c r="AH190" s="30"/>
      <c r="AI190" s="30">
        <v>40</v>
      </c>
      <c r="AJ190" s="30">
        <v>40</v>
      </c>
      <c r="AK190" s="30">
        <v>30</v>
      </c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</row>
    <row r="191" ht="25.5" customHeight="1">
      <c r="A191" s="16"/>
      <c r="B191" t="s" s="17">
        <v>25</v>
      </c>
      <c r="C191" t="s" s="31">
        <v>90</v>
      </c>
      <c r="D191" t="s" s="32">
        <v>109</v>
      </c>
      <c r="E191" t="s" s="33">
        <v>110</v>
      </c>
      <c r="F191" t="s" s="21">
        <v>43</v>
      </c>
      <c r="G191" t="s" s="22">
        <v>36</v>
      </c>
      <c r="H191" s="23">
        <v>2</v>
      </c>
      <c r="I191" s="24">
        <v>28</v>
      </c>
      <c r="J191" s="24">
        <v>32</v>
      </c>
      <c r="K191" s="24">
        <v>7</v>
      </c>
      <c r="L191" s="24">
        <v>6</v>
      </c>
      <c r="M191" s="24">
        <v>6</v>
      </c>
      <c r="N191" s="24">
        <v>6</v>
      </c>
      <c r="O191" s="24">
        <v>6</v>
      </c>
      <c r="P191" s="24">
        <v>6</v>
      </c>
      <c r="Q191" s="24">
        <v>7</v>
      </c>
      <c r="R191" s="24">
        <v>17</v>
      </c>
      <c r="S191" s="24">
        <v>10</v>
      </c>
      <c r="T191" s="25">
        <v>10</v>
      </c>
      <c r="U191" s="26">
        <f>SUM(H191:T191)</f>
        <v>143</v>
      </c>
      <c r="V191" s="27">
        <v>1985</v>
      </c>
      <c r="W191" s="28">
        <v>550</v>
      </c>
      <c r="X191" s="29">
        <f>SUM(V191,W191)</f>
        <v>2535</v>
      </c>
      <c r="Y191" s="27">
        <f>X191*U191</f>
        <v>362505</v>
      </c>
      <c r="Z191" s="29">
        <f>Y191*100/$Y$237</f>
        <v>0.24701891716666</v>
      </c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>
        <v>20</v>
      </c>
      <c r="AL191" s="30">
        <v>80</v>
      </c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27"/>
    </row>
    <row r="192" ht="25.5" customHeight="1">
      <c r="A192" s="16"/>
      <c r="B192" t="s" s="17">
        <v>25</v>
      </c>
      <c r="C192" t="s" s="31">
        <v>90</v>
      </c>
      <c r="D192" t="s" s="32">
        <v>109</v>
      </c>
      <c r="E192" t="s" s="33">
        <v>110</v>
      </c>
      <c r="F192" t="s" s="21">
        <v>44</v>
      </c>
      <c r="G192" t="s" s="22">
        <v>40</v>
      </c>
      <c r="H192" s="23">
        <v>15</v>
      </c>
      <c r="I192" s="24">
        <v>200</v>
      </c>
      <c r="J192" s="24">
        <v>210</v>
      </c>
      <c r="K192" s="24">
        <v>54</v>
      </c>
      <c r="L192" s="24">
        <v>44</v>
      </c>
      <c r="M192" s="24">
        <v>44</v>
      </c>
      <c r="N192" s="24">
        <v>44</v>
      </c>
      <c r="O192" s="24">
        <v>44</v>
      </c>
      <c r="P192" s="24">
        <v>44</v>
      </c>
      <c r="Q192" s="24">
        <v>56</v>
      </c>
      <c r="R192" s="24">
        <v>112</v>
      </c>
      <c r="S192" s="24">
        <v>63</v>
      </c>
      <c r="T192" s="25">
        <v>63</v>
      </c>
      <c r="U192" s="26">
        <f>SUM(H192:T192)</f>
        <v>993</v>
      </c>
      <c r="V192" s="27">
        <v>235</v>
      </c>
      <c r="W192" s="28">
        <v>325</v>
      </c>
      <c r="X192" s="29">
        <f>SUM(V192,W192)</f>
        <v>560</v>
      </c>
      <c r="Y192" s="27">
        <f>X192*U192</f>
        <v>556080</v>
      </c>
      <c r="Z192" s="29">
        <f>Y192*100/$Y$237</f>
        <v>0.378925199536659</v>
      </c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>
        <v>20</v>
      </c>
      <c r="AL192" s="27">
        <v>80</v>
      </c>
      <c r="AM192" s="29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27"/>
    </row>
    <row r="193" ht="25.5" customHeight="1">
      <c r="A193" s="16"/>
      <c r="B193" t="s" s="17">
        <v>25</v>
      </c>
      <c r="C193" t="s" s="31">
        <v>90</v>
      </c>
      <c r="D193" t="s" s="32">
        <v>109</v>
      </c>
      <c r="E193" t="s" s="33">
        <v>110</v>
      </c>
      <c r="F193" t="s" s="21">
        <v>111</v>
      </c>
      <c r="G193" t="s" s="22">
        <v>46</v>
      </c>
      <c r="H193" s="23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5">
        <v>0</v>
      </c>
      <c r="U193" s="26">
        <f>SUM(H193:T193)</f>
        <v>0</v>
      </c>
      <c r="V193" s="27">
        <v>24</v>
      </c>
      <c r="W193" s="28">
        <v>5.5</v>
      </c>
      <c r="X193" s="29">
        <f>SUM(V193,W193)</f>
        <v>29.5</v>
      </c>
      <c r="Y193" s="27">
        <f>X193*U193</f>
        <v>0</v>
      </c>
      <c r="Z193" s="29">
        <f>Y193*100/$Y$237</f>
        <v>0</v>
      </c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>
        <v>20</v>
      </c>
      <c r="AL193" s="27">
        <v>80</v>
      </c>
      <c r="AM193" s="29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27"/>
    </row>
    <row r="194" ht="25.5" customHeight="1">
      <c r="A194" s="16"/>
      <c r="B194" t="s" s="17">
        <v>25</v>
      </c>
      <c r="C194" t="s" s="31">
        <v>90</v>
      </c>
      <c r="D194" t="s" s="32">
        <v>109</v>
      </c>
      <c r="E194" t="s" s="33">
        <v>110</v>
      </c>
      <c r="F194" t="s" s="21">
        <v>112</v>
      </c>
      <c r="G194" t="s" s="22">
        <v>46</v>
      </c>
      <c r="H194" s="23">
        <v>28</v>
      </c>
      <c r="I194" s="24">
        <v>311</v>
      </c>
      <c r="J194" s="24">
        <v>182</v>
      </c>
      <c r="K194" s="24">
        <v>123</v>
      </c>
      <c r="L194" s="24">
        <v>107</v>
      </c>
      <c r="M194" s="24">
        <v>107</v>
      </c>
      <c r="N194" s="24">
        <v>107</v>
      </c>
      <c r="O194" s="24">
        <v>107</v>
      </c>
      <c r="P194" s="24">
        <v>107</v>
      </c>
      <c r="Q194" s="24">
        <v>139</v>
      </c>
      <c r="R194" s="24">
        <v>257</v>
      </c>
      <c r="S194" s="24">
        <v>125</v>
      </c>
      <c r="T194" s="25">
        <v>125</v>
      </c>
      <c r="U194" s="26">
        <f>SUM(H194:T194)</f>
        <v>1825</v>
      </c>
      <c r="V194" s="27">
        <v>23</v>
      </c>
      <c r="W194" s="28">
        <v>5.5</v>
      </c>
      <c r="X194" s="29">
        <f>SUM(V194,W194)</f>
        <v>28.5</v>
      </c>
      <c r="Y194" s="27">
        <f>X194*U194</f>
        <v>52012.5</v>
      </c>
      <c r="Z194" s="29">
        <f>Y194*100/$Y$237</f>
        <v>0.035442466804957</v>
      </c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>
        <v>20</v>
      </c>
      <c r="AL194" s="27">
        <v>80</v>
      </c>
      <c r="AM194" s="29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27"/>
    </row>
    <row r="195" ht="25.5" customHeight="1">
      <c r="A195" s="16"/>
      <c r="B195" t="s" s="17">
        <v>25</v>
      </c>
      <c r="C195" t="s" s="31">
        <v>90</v>
      </c>
      <c r="D195" t="s" s="32">
        <v>109</v>
      </c>
      <c r="E195" t="s" s="33">
        <v>110</v>
      </c>
      <c r="F195" t="s" s="21">
        <v>113</v>
      </c>
      <c r="G195" t="s" s="22">
        <v>46</v>
      </c>
      <c r="H195" s="23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5">
        <v>0</v>
      </c>
      <c r="U195" s="26">
        <f>SUM(H195:T195)</f>
        <v>0</v>
      </c>
      <c r="V195" s="27">
        <v>23</v>
      </c>
      <c r="W195" s="28">
        <v>5.5</v>
      </c>
      <c r="X195" s="29">
        <f>SUM(V195,W195)</f>
        <v>28.5</v>
      </c>
      <c r="Y195" s="27">
        <f>X195*U195</f>
        <v>0</v>
      </c>
      <c r="Z195" s="29">
        <f>Y195*100/$Y$237</f>
        <v>0</v>
      </c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>
        <v>20</v>
      </c>
      <c r="AL195" s="27">
        <v>80</v>
      </c>
      <c r="AM195" s="29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27"/>
    </row>
    <row r="196" ht="25.5" customHeight="1">
      <c r="A196" s="16"/>
      <c r="B196" t="s" s="17">
        <v>25</v>
      </c>
      <c r="C196" t="s" s="31">
        <v>90</v>
      </c>
      <c r="D196" t="s" s="32">
        <v>109</v>
      </c>
      <c r="E196" t="s" s="33">
        <v>110</v>
      </c>
      <c r="F196" t="s" s="21">
        <v>114</v>
      </c>
      <c r="G196" t="s" s="22">
        <v>46</v>
      </c>
      <c r="H196" s="23">
        <v>84</v>
      </c>
      <c r="I196" s="24">
        <v>1973</v>
      </c>
      <c r="J196" s="24">
        <v>2542</v>
      </c>
      <c r="K196" s="24">
        <v>650</v>
      </c>
      <c r="L196" s="24">
        <v>537</v>
      </c>
      <c r="M196" s="24">
        <v>537</v>
      </c>
      <c r="N196" s="24">
        <v>537</v>
      </c>
      <c r="O196" s="24">
        <v>537</v>
      </c>
      <c r="P196" s="24">
        <v>537</v>
      </c>
      <c r="Q196" s="24">
        <v>662</v>
      </c>
      <c r="R196" s="24">
        <v>1099</v>
      </c>
      <c r="S196" s="24">
        <v>609</v>
      </c>
      <c r="T196" s="25">
        <v>609</v>
      </c>
      <c r="U196" s="26">
        <f>SUM(H196:T196)</f>
        <v>10913</v>
      </c>
      <c r="V196" s="27">
        <v>22.5</v>
      </c>
      <c r="W196" s="28">
        <v>5</v>
      </c>
      <c r="X196" s="29">
        <f>SUM(V196,W196)</f>
        <v>27.5</v>
      </c>
      <c r="Y196" s="27">
        <f>X196*U196</f>
        <v>300107.5</v>
      </c>
      <c r="Z196" s="29">
        <f>Y196*100/$Y$237</f>
        <v>0.204499881887404</v>
      </c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>
        <v>20</v>
      </c>
      <c r="AL196" s="27">
        <v>80</v>
      </c>
      <c r="AM196" s="29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27"/>
    </row>
    <row r="197" ht="25.5" customHeight="1">
      <c r="A197" s="16"/>
      <c r="B197" t="s" s="17">
        <v>25</v>
      </c>
      <c r="C197" t="s" s="31">
        <v>90</v>
      </c>
      <c r="D197" t="s" s="32">
        <v>109</v>
      </c>
      <c r="E197" t="s" s="33">
        <v>110</v>
      </c>
      <c r="F197" t="s" s="21">
        <v>115</v>
      </c>
      <c r="G197" t="s" s="22">
        <v>46</v>
      </c>
      <c r="H197" s="23">
        <v>75</v>
      </c>
      <c r="I197" s="24">
        <v>1650</v>
      </c>
      <c r="J197" s="24">
        <v>1290</v>
      </c>
      <c r="K197" s="24">
        <v>195</v>
      </c>
      <c r="L197" s="24">
        <v>195</v>
      </c>
      <c r="M197" s="24">
        <v>195</v>
      </c>
      <c r="N197" s="24">
        <v>195</v>
      </c>
      <c r="O197" s="24">
        <v>195</v>
      </c>
      <c r="P197" s="24">
        <v>195</v>
      </c>
      <c r="Q197" s="24">
        <v>214</v>
      </c>
      <c r="R197" s="24">
        <v>900</v>
      </c>
      <c r="S197" s="24">
        <v>610</v>
      </c>
      <c r="T197" s="25">
        <v>610</v>
      </c>
      <c r="U197" s="26">
        <f>SUM(H197:T197)</f>
        <v>6519</v>
      </c>
      <c r="V197" s="27">
        <v>22</v>
      </c>
      <c r="W197" s="28">
        <v>5</v>
      </c>
      <c r="X197" s="29">
        <f>SUM(V197,W197)</f>
        <v>27</v>
      </c>
      <c r="Y197" s="27">
        <f>X197*U197</f>
        <v>176013</v>
      </c>
      <c r="Z197" s="29">
        <f>Y197*100/$Y$237</f>
        <v>0.119939147507635</v>
      </c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>
        <v>20</v>
      </c>
      <c r="AL197" s="27">
        <v>80</v>
      </c>
      <c r="AM197" s="29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27"/>
    </row>
    <row r="198" ht="25.5" customHeight="1">
      <c r="A198" s="16"/>
      <c r="B198" t="s" s="17">
        <v>25</v>
      </c>
      <c r="C198" t="s" s="31">
        <v>90</v>
      </c>
      <c r="D198" t="s" s="32">
        <v>109</v>
      </c>
      <c r="E198" t="s" s="33">
        <v>110</v>
      </c>
      <c r="F198" t="s" s="21">
        <v>116</v>
      </c>
      <c r="G198" t="s" s="22">
        <v>46</v>
      </c>
      <c r="H198" s="23">
        <v>0</v>
      </c>
      <c r="I198" s="24">
        <v>52</v>
      </c>
      <c r="J198" s="24">
        <v>601</v>
      </c>
      <c r="K198" s="24">
        <v>57</v>
      </c>
      <c r="L198" s="24">
        <v>57</v>
      </c>
      <c r="M198" s="24">
        <v>57</v>
      </c>
      <c r="N198" s="24">
        <v>57</v>
      </c>
      <c r="O198" s="24">
        <v>57</v>
      </c>
      <c r="P198" s="24">
        <v>57</v>
      </c>
      <c r="Q198" s="24">
        <v>75</v>
      </c>
      <c r="R198" s="24">
        <v>127</v>
      </c>
      <c r="S198" s="24">
        <v>68</v>
      </c>
      <c r="T198" s="25">
        <v>68</v>
      </c>
      <c r="U198" s="26">
        <f>SUM(H198:T198)</f>
        <v>1333</v>
      </c>
      <c r="V198" s="27">
        <v>22</v>
      </c>
      <c r="W198" s="28">
        <v>4.5</v>
      </c>
      <c r="X198" s="29">
        <f>SUM(V198,W198)</f>
        <v>26.5</v>
      </c>
      <c r="Y198" s="27">
        <f>X198*U198</f>
        <v>35324.5</v>
      </c>
      <c r="Z198" s="29">
        <f>Y198*100/$Y$237</f>
        <v>0.0240708948551156</v>
      </c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>
        <v>20</v>
      </c>
      <c r="AL198" s="27">
        <v>80</v>
      </c>
      <c r="AM198" s="29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27"/>
    </row>
    <row r="199" ht="25.5" customHeight="1">
      <c r="A199" s="16"/>
      <c r="B199" t="s" s="17">
        <v>25</v>
      </c>
      <c r="C199" t="s" s="31">
        <v>90</v>
      </c>
      <c r="D199" t="s" s="32">
        <v>109</v>
      </c>
      <c r="E199" t="s" s="33">
        <v>110</v>
      </c>
      <c r="F199" t="s" s="21">
        <v>117</v>
      </c>
      <c r="G199" t="s" s="22">
        <v>46</v>
      </c>
      <c r="H199" s="23">
        <v>0</v>
      </c>
      <c r="I199" s="24">
        <v>0</v>
      </c>
      <c r="J199" s="24">
        <v>894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5">
        <v>0</v>
      </c>
      <c r="U199" s="26">
        <f>SUM(H199:T199)</f>
        <v>894</v>
      </c>
      <c r="V199" s="27">
        <v>22</v>
      </c>
      <c r="W199" s="28">
        <v>4.5</v>
      </c>
      <c r="X199" s="29">
        <f>SUM(V199,W199)</f>
        <v>26.5</v>
      </c>
      <c r="Y199" s="27">
        <f>X199*U199</f>
        <v>23691</v>
      </c>
      <c r="Z199" s="29">
        <f>Y199*100/$Y$237</f>
        <v>0.0161435708930783</v>
      </c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>
        <v>20</v>
      </c>
      <c r="AL199" s="27">
        <v>80</v>
      </c>
      <c r="AM199" s="29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27"/>
    </row>
    <row r="200" ht="25.5" customHeight="1">
      <c r="A200" s="16"/>
      <c r="B200" t="s" s="17">
        <v>25</v>
      </c>
      <c r="C200" t="s" s="31">
        <v>90</v>
      </c>
      <c r="D200" t="s" s="32">
        <v>109</v>
      </c>
      <c r="E200" t="s" s="33">
        <v>110</v>
      </c>
      <c r="F200" t="s" s="21">
        <v>118</v>
      </c>
      <c r="G200" t="s" s="22">
        <v>46</v>
      </c>
      <c r="H200" s="23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5">
        <v>0</v>
      </c>
      <c r="U200" s="26">
        <f>SUM(H200:T200)</f>
        <v>0</v>
      </c>
      <c r="V200" s="27">
        <v>22</v>
      </c>
      <c r="W200" s="28">
        <v>4.5</v>
      </c>
      <c r="X200" s="29">
        <f>SUM(V200,W200)</f>
        <v>26.5</v>
      </c>
      <c r="Y200" s="27">
        <f>X200*U200</f>
        <v>0</v>
      </c>
      <c r="Z200" s="29">
        <f>Y200*100/$Y$237</f>
        <v>0</v>
      </c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>
        <v>20</v>
      </c>
      <c r="AL200" s="27">
        <v>80</v>
      </c>
      <c r="AM200" s="29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27"/>
    </row>
    <row r="201" ht="25.5" customHeight="1">
      <c r="A201" s="16"/>
      <c r="B201" t="s" s="17">
        <v>25</v>
      </c>
      <c r="C201" t="s" s="31">
        <v>90</v>
      </c>
      <c r="D201" t="s" s="32">
        <v>109</v>
      </c>
      <c r="E201" t="s" s="33">
        <v>110</v>
      </c>
      <c r="F201" t="s" s="21">
        <v>119</v>
      </c>
      <c r="G201" t="s" s="22">
        <v>46</v>
      </c>
      <c r="H201" s="23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5">
        <v>0</v>
      </c>
      <c r="U201" s="26">
        <f>SUM(H201:T201)</f>
        <v>0</v>
      </c>
      <c r="V201" s="27">
        <v>22.5</v>
      </c>
      <c r="W201" s="28">
        <v>4.5</v>
      </c>
      <c r="X201" s="29">
        <f>SUM(V201,W201)</f>
        <v>27</v>
      </c>
      <c r="Y201" s="27">
        <f>X201*U201</f>
        <v>0</v>
      </c>
      <c r="Z201" s="29">
        <f>Y201*100/$Y$237</f>
        <v>0</v>
      </c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>
        <v>20</v>
      </c>
      <c r="AL201" s="27">
        <v>80</v>
      </c>
      <c r="AM201" s="29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27"/>
    </row>
    <row r="202" ht="25.5" customHeight="1">
      <c r="A202" s="16"/>
      <c r="B202" t="s" s="17">
        <v>25</v>
      </c>
      <c r="C202" t="s" s="31">
        <v>90</v>
      </c>
      <c r="D202" t="s" s="32">
        <v>120</v>
      </c>
      <c r="E202" t="s" s="39">
        <v>73</v>
      </c>
      <c r="F202" t="s" s="55">
        <v>121</v>
      </c>
      <c r="G202" t="s" s="22">
        <v>63</v>
      </c>
      <c r="H202" s="23"/>
      <c r="I202" s="24"/>
      <c r="J202" s="24">
        <v>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5"/>
      <c r="U202" s="56">
        <v>1</v>
      </c>
      <c r="V202" s="57">
        <v>4000000</v>
      </c>
      <c r="W202" s="28">
        <v>0</v>
      </c>
      <c r="X202" s="29">
        <f>SUM(V202,W202)</f>
        <v>4000000</v>
      </c>
      <c r="Y202" s="27">
        <f>X202*U202</f>
        <v>4000000</v>
      </c>
      <c r="Z202" s="29">
        <f>Y202*100/$Y$237</f>
        <v>2.72568838682678</v>
      </c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27"/>
      <c r="AM202" s="29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</row>
    <row r="203" ht="25.5" customHeight="1">
      <c r="A203" s="16"/>
      <c r="B203" t="s" s="17">
        <v>25</v>
      </c>
      <c r="C203" t="s" s="31">
        <v>90</v>
      </c>
      <c r="D203" t="s" s="58">
        <v>122</v>
      </c>
      <c r="E203" t="s" s="58">
        <v>123</v>
      </c>
      <c r="F203" t="s" s="59">
        <v>124</v>
      </c>
      <c r="G203" t="s" s="60">
        <v>125</v>
      </c>
      <c r="H203" s="23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61">
        <v>1290</v>
      </c>
      <c r="V203" s="27">
        <v>64.5</v>
      </c>
      <c r="W203" s="28">
        <v>22</v>
      </c>
      <c r="X203" s="29">
        <f>SUM(V203,W203)</f>
        <v>86.5</v>
      </c>
      <c r="Y203" s="27">
        <f>X203*U203</f>
        <v>111585</v>
      </c>
      <c r="Z203" s="29">
        <f>Y203*100/$Y$237</f>
        <v>0.07603648466101651</v>
      </c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</row>
    <row r="204" ht="25.5" customHeight="1">
      <c r="A204" s="16"/>
      <c r="B204" t="s" s="17">
        <v>25</v>
      </c>
      <c r="C204" t="s" s="31">
        <v>90</v>
      </c>
      <c r="D204" t="s" s="58">
        <v>122</v>
      </c>
      <c r="E204" t="s" s="58">
        <v>123</v>
      </c>
      <c r="F204" t="s" s="59">
        <v>126</v>
      </c>
      <c r="G204" t="s" s="60">
        <v>125</v>
      </c>
      <c r="H204" s="23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61">
        <v>3120</v>
      </c>
      <c r="V204" s="27">
        <v>64.5</v>
      </c>
      <c r="W204" s="28">
        <v>22</v>
      </c>
      <c r="X204" s="29">
        <f>SUM(V204,W204)</f>
        <v>86.5</v>
      </c>
      <c r="Y204" s="27">
        <f>X204*U204</f>
        <v>269880</v>
      </c>
      <c r="Z204" s="29">
        <f>Y204*100/$Y$237</f>
        <v>0.183902195459203</v>
      </c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</row>
    <row r="205" ht="25.5" customHeight="1">
      <c r="A205" s="16"/>
      <c r="B205" t="s" s="17">
        <v>25</v>
      </c>
      <c r="C205" t="s" s="31">
        <v>90</v>
      </c>
      <c r="D205" t="s" s="58">
        <v>122</v>
      </c>
      <c r="E205" t="s" s="58">
        <v>123</v>
      </c>
      <c r="F205" t="s" s="59">
        <v>127</v>
      </c>
      <c r="G205" t="s" s="60">
        <v>125</v>
      </c>
      <c r="H205" s="23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61">
        <v>430</v>
      </c>
      <c r="V205" s="27">
        <v>64.5</v>
      </c>
      <c r="W205" s="28">
        <v>22</v>
      </c>
      <c r="X205" s="29">
        <f>SUM(V205,W205)</f>
        <v>86.5</v>
      </c>
      <c r="Y205" s="27">
        <f>X205*U205</f>
        <v>37195</v>
      </c>
      <c r="Z205" s="29">
        <f>Y205*100/$Y$237</f>
        <v>0.0253454948870055</v>
      </c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</row>
    <row r="206" ht="25.5" customHeight="1">
      <c r="A206" s="16"/>
      <c r="B206" t="s" s="17">
        <v>25</v>
      </c>
      <c r="C206" t="s" s="31">
        <v>90</v>
      </c>
      <c r="D206" t="s" s="58">
        <v>122</v>
      </c>
      <c r="E206" t="s" s="58">
        <v>123</v>
      </c>
      <c r="F206" t="s" s="62">
        <v>128</v>
      </c>
      <c r="G206" t="s" s="60">
        <v>125</v>
      </c>
      <c r="H206" s="23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61">
        <v>420</v>
      </c>
      <c r="V206" s="27">
        <v>64.5</v>
      </c>
      <c r="W206" s="28">
        <v>22</v>
      </c>
      <c r="X206" s="29">
        <f>SUM(V206,W206)</f>
        <v>86.5</v>
      </c>
      <c r="Y206" s="27">
        <f>X206*U206</f>
        <v>36330</v>
      </c>
      <c r="Z206" s="29">
        <f>Y206*100/$Y$237</f>
        <v>0.0247560647733542</v>
      </c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</row>
    <row r="207" ht="25.5" customHeight="1">
      <c r="A207" s="16"/>
      <c r="B207" t="s" s="17">
        <v>25</v>
      </c>
      <c r="C207" t="s" s="31">
        <v>90</v>
      </c>
      <c r="D207" t="s" s="58">
        <v>122</v>
      </c>
      <c r="E207" t="s" s="58">
        <v>123</v>
      </c>
      <c r="F207" t="s" s="62">
        <v>129</v>
      </c>
      <c r="G207" t="s" s="60">
        <v>125</v>
      </c>
      <c r="H207" s="23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61">
        <v>1</v>
      </c>
      <c r="V207" s="27">
        <v>56</v>
      </c>
      <c r="W207" s="28">
        <v>22</v>
      </c>
      <c r="X207" s="29">
        <f>SUM(V207,W207)</f>
        <v>78</v>
      </c>
      <c r="Y207" s="27">
        <f>X207*U207</f>
        <v>78</v>
      </c>
      <c r="Z207" s="29">
        <f>Y207*100/$Y$237</f>
        <v>5.31509235431222e-05</v>
      </c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</row>
    <row r="208" ht="25.5" customHeight="1">
      <c r="A208" s="16"/>
      <c r="B208" t="s" s="17">
        <v>25</v>
      </c>
      <c r="C208" t="s" s="31">
        <v>90</v>
      </c>
      <c r="D208" t="s" s="58">
        <v>122</v>
      </c>
      <c r="E208" t="s" s="58">
        <v>123</v>
      </c>
      <c r="F208" t="s" s="62">
        <v>130</v>
      </c>
      <c r="G208" t="s" s="60">
        <v>125</v>
      </c>
      <c r="H208" s="23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61">
        <v>100</v>
      </c>
      <c r="V208" s="27">
        <v>56</v>
      </c>
      <c r="W208" s="28">
        <v>22</v>
      </c>
      <c r="X208" s="29">
        <f>SUM(V208,W208)</f>
        <v>78</v>
      </c>
      <c r="Y208" s="27">
        <f>X208*U208</f>
        <v>7800</v>
      </c>
      <c r="Z208" s="29">
        <f>Y208*100/$Y$237</f>
        <v>0.00531509235431222</v>
      </c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</row>
    <row r="209" ht="25.5" customHeight="1">
      <c r="A209" s="16"/>
      <c r="B209" t="s" s="17">
        <v>25</v>
      </c>
      <c r="C209" t="s" s="31">
        <v>90</v>
      </c>
      <c r="D209" t="s" s="58">
        <v>122</v>
      </c>
      <c r="E209" t="s" s="58">
        <v>123</v>
      </c>
      <c r="F209" t="s" s="62">
        <v>131</v>
      </c>
      <c r="G209" t="s" s="60">
        <v>132</v>
      </c>
      <c r="H209" s="23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61">
        <v>6</v>
      </c>
      <c r="V209" s="27">
        <v>87.5</v>
      </c>
      <c r="W209" s="28">
        <v>65</v>
      </c>
      <c r="X209" s="29">
        <f>SUM(V209,W209)</f>
        <v>152.5</v>
      </c>
      <c r="Y209" s="27">
        <f>X209*U209</f>
        <v>915</v>
      </c>
      <c r="Z209" s="29">
        <f>Y209*100/$Y$237</f>
        <v>0.000623501218486626</v>
      </c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</row>
    <row r="210" ht="25.5" customHeight="1">
      <c r="A210" s="16"/>
      <c r="B210" t="s" s="17">
        <v>25</v>
      </c>
      <c r="C210" t="s" s="31">
        <v>90</v>
      </c>
      <c r="D210" t="s" s="58">
        <v>122</v>
      </c>
      <c r="E210" t="s" s="58">
        <v>123</v>
      </c>
      <c r="F210" t="s" s="62">
        <v>133</v>
      </c>
      <c r="G210" t="s" s="60">
        <v>132</v>
      </c>
      <c r="H210" s="23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61">
        <v>9</v>
      </c>
      <c r="V210" s="27">
        <v>29.5</v>
      </c>
      <c r="W210" s="28">
        <v>22</v>
      </c>
      <c r="X210" s="29">
        <f>SUM(V210,W210)</f>
        <v>51.5</v>
      </c>
      <c r="Y210" s="27">
        <f>X210*U210</f>
        <v>463.5</v>
      </c>
      <c r="Z210" s="29">
        <f>Y210*100/$Y$237</f>
        <v>0.000315839141823553</v>
      </c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</row>
    <row r="211" ht="25.5" customHeight="1">
      <c r="A211" s="16"/>
      <c r="B211" t="s" s="17">
        <v>25</v>
      </c>
      <c r="C211" t="s" s="31">
        <v>90</v>
      </c>
      <c r="D211" t="s" s="58">
        <v>122</v>
      </c>
      <c r="E211" t="s" s="58">
        <v>123</v>
      </c>
      <c r="F211" t="s" s="62">
        <v>134</v>
      </c>
      <c r="G211" t="s" s="60">
        <v>135</v>
      </c>
      <c r="H211" s="23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61">
        <v>140</v>
      </c>
      <c r="V211" s="27">
        <v>28</v>
      </c>
      <c r="W211" s="28">
        <v>22</v>
      </c>
      <c r="X211" s="29">
        <f>SUM(V211,W211)</f>
        <v>50</v>
      </c>
      <c r="Y211" s="27">
        <f>X211*U211</f>
        <v>7000</v>
      </c>
      <c r="Z211" s="29">
        <f>Y211*100/$Y$237</f>
        <v>0.00476995467694686</v>
      </c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</row>
    <row r="212" ht="25.5" customHeight="1">
      <c r="A212" s="16"/>
      <c r="B212" t="s" s="17">
        <v>25</v>
      </c>
      <c r="C212" t="s" s="31">
        <v>90</v>
      </c>
      <c r="D212" t="s" s="58">
        <v>122</v>
      </c>
      <c r="E212" t="s" s="58">
        <v>123</v>
      </c>
      <c r="F212" t="s" s="62">
        <v>136</v>
      </c>
      <c r="G212" t="s" s="60">
        <v>135</v>
      </c>
      <c r="H212" s="23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61">
        <v>140</v>
      </c>
      <c r="V212" s="27">
        <v>55.5</v>
      </c>
      <c r="W212" s="28">
        <v>43.5</v>
      </c>
      <c r="X212" s="29">
        <f>SUM(V212,W212)</f>
        <v>99</v>
      </c>
      <c r="Y212" s="27">
        <f>X212*U212</f>
        <v>13860</v>
      </c>
      <c r="Z212" s="29">
        <f>Y212*100/$Y$237</f>
        <v>0.00944451026035479</v>
      </c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</row>
    <row r="213" ht="25.5" customHeight="1">
      <c r="A213" s="16"/>
      <c r="B213" t="s" s="17">
        <v>25</v>
      </c>
      <c r="C213" t="s" s="31">
        <v>90</v>
      </c>
      <c r="D213" t="s" s="58">
        <v>122</v>
      </c>
      <c r="E213" t="s" s="58">
        <v>123</v>
      </c>
      <c r="F213" t="s" s="62">
        <v>137</v>
      </c>
      <c r="G213" t="s" s="60">
        <v>135</v>
      </c>
      <c r="H213" s="23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61">
        <v>140</v>
      </c>
      <c r="V213" s="27">
        <v>175</v>
      </c>
      <c r="W213" s="28">
        <v>43.5</v>
      </c>
      <c r="X213" s="29">
        <f>SUM(V213,W213)</f>
        <v>218.5</v>
      </c>
      <c r="Y213" s="27">
        <f>X213*U213</f>
        <v>30590</v>
      </c>
      <c r="Z213" s="29">
        <f>Y213*100/$Y$237</f>
        <v>0.0208447019382578</v>
      </c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</row>
    <row r="214" ht="25.5" customHeight="1">
      <c r="A214" s="16"/>
      <c r="B214" t="s" s="17">
        <v>25</v>
      </c>
      <c r="C214" t="s" s="31">
        <v>90</v>
      </c>
      <c r="D214" t="s" s="58">
        <v>122</v>
      </c>
      <c r="E214" t="s" s="58">
        <v>123</v>
      </c>
      <c r="F214" t="s" s="62">
        <v>138</v>
      </c>
      <c r="G214" t="s" s="60">
        <v>135</v>
      </c>
      <c r="H214" s="23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61">
        <v>140</v>
      </c>
      <c r="V214" s="27">
        <v>0</v>
      </c>
      <c r="W214" s="28">
        <v>29</v>
      </c>
      <c r="X214" s="29">
        <f>SUM(V214,W214)</f>
        <v>29</v>
      </c>
      <c r="Y214" s="27">
        <f>X214*U214</f>
        <v>4060</v>
      </c>
      <c r="Z214" s="29">
        <f>Y214*100/$Y$237</f>
        <v>0.00276657371262918</v>
      </c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</row>
    <row r="215" ht="25.5" customHeight="1">
      <c r="A215" s="16"/>
      <c r="B215" t="s" s="17">
        <v>25</v>
      </c>
      <c r="C215" t="s" s="31">
        <v>90</v>
      </c>
      <c r="D215" t="s" s="58">
        <v>122</v>
      </c>
      <c r="E215" t="s" s="58">
        <v>123</v>
      </c>
      <c r="F215" t="s" s="62">
        <v>139</v>
      </c>
      <c r="G215" t="s" s="60">
        <v>140</v>
      </c>
      <c r="H215" s="23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61">
        <v>6</v>
      </c>
      <c r="V215" s="27">
        <v>816.5</v>
      </c>
      <c r="W215" s="28">
        <v>144</v>
      </c>
      <c r="X215" s="29">
        <f>SUM(V215,W215)</f>
        <v>960.5</v>
      </c>
      <c r="Y215" s="27">
        <f>X215*U215</f>
        <v>5763</v>
      </c>
      <c r="Z215" s="29">
        <f>Y215*100/$Y$237</f>
        <v>0.00392703554332068</v>
      </c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</row>
    <row r="216" ht="25.5" customHeight="1">
      <c r="A216" s="16"/>
      <c r="B216" t="s" s="17">
        <v>25</v>
      </c>
      <c r="C216" t="s" s="31">
        <v>90</v>
      </c>
      <c r="D216" t="s" s="58">
        <v>122</v>
      </c>
      <c r="E216" t="s" s="58">
        <v>123</v>
      </c>
      <c r="F216" t="s" s="62">
        <v>141</v>
      </c>
      <c r="G216" t="s" s="60">
        <v>142</v>
      </c>
      <c r="H216" s="23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61">
        <v>140</v>
      </c>
      <c r="V216" s="27">
        <v>1749</v>
      </c>
      <c r="W216" s="28">
        <v>287.5</v>
      </c>
      <c r="X216" s="29">
        <f>SUM(V216,W216)</f>
        <v>2036.5</v>
      </c>
      <c r="Y216" s="27">
        <f>X216*U216</f>
        <v>285110</v>
      </c>
      <c r="Z216" s="29">
        <f>Y216*100/$Y$237</f>
        <v>0.194280253992046</v>
      </c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</row>
    <row r="217" ht="25.5" customHeight="1">
      <c r="A217" s="16"/>
      <c r="B217" t="s" s="17">
        <v>25</v>
      </c>
      <c r="C217" t="s" s="31">
        <v>90</v>
      </c>
      <c r="D217" t="s" s="58">
        <v>122</v>
      </c>
      <c r="E217" t="s" s="58">
        <v>123</v>
      </c>
      <c r="F217" t="s" s="62">
        <v>143</v>
      </c>
      <c r="G217" t="s" s="60">
        <v>140</v>
      </c>
      <c r="H217" s="23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61">
        <v>12</v>
      </c>
      <c r="V217" s="27">
        <v>175</v>
      </c>
      <c r="W217" s="28">
        <v>144</v>
      </c>
      <c r="X217" s="29">
        <f>SUM(V217,W217)</f>
        <v>319</v>
      </c>
      <c r="Y217" s="27">
        <f>X217*U217</f>
        <v>3828</v>
      </c>
      <c r="Z217" s="29">
        <f>Y217*100/$Y$237</f>
        <v>0.00260848378619323</v>
      </c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</row>
    <row r="218" ht="25.5" customHeight="1">
      <c r="A218" s="16"/>
      <c r="B218" t="s" s="17">
        <v>25</v>
      </c>
      <c r="C218" t="s" s="31">
        <v>90</v>
      </c>
      <c r="D218" t="s" s="58">
        <v>122</v>
      </c>
      <c r="E218" t="s" s="58">
        <v>123</v>
      </c>
      <c r="F218" t="s" s="62">
        <v>144</v>
      </c>
      <c r="G218" t="s" s="60">
        <v>140</v>
      </c>
      <c r="H218" s="23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61">
        <v>12</v>
      </c>
      <c r="V218" s="27">
        <v>350</v>
      </c>
      <c r="W218" s="28">
        <v>287.5</v>
      </c>
      <c r="X218" s="29">
        <f>SUM(V218,W218)</f>
        <v>637.5</v>
      </c>
      <c r="Y218" s="27">
        <f>X218*U218</f>
        <v>7650</v>
      </c>
      <c r="Z218" s="29">
        <f>Y218*100/$Y$237</f>
        <v>0.00521287903980622</v>
      </c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</row>
    <row r="219" ht="25.5" customHeight="1">
      <c r="A219" s="16"/>
      <c r="B219" t="s" s="17">
        <v>25</v>
      </c>
      <c r="C219" t="s" s="31">
        <v>90</v>
      </c>
      <c r="D219" t="s" s="58">
        <v>122</v>
      </c>
      <c r="E219" t="s" s="58">
        <v>123</v>
      </c>
      <c r="F219" t="s" s="62">
        <v>145</v>
      </c>
      <c r="G219" t="s" s="60">
        <v>140</v>
      </c>
      <c r="H219" s="23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61">
        <v>24</v>
      </c>
      <c r="V219" s="27">
        <v>583</v>
      </c>
      <c r="W219" s="28">
        <v>144</v>
      </c>
      <c r="X219" s="29">
        <f>SUM(V219,W219)</f>
        <v>727</v>
      </c>
      <c r="Y219" s="27">
        <f>X219*U219</f>
        <v>17448</v>
      </c>
      <c r="Z219" s="29">
        <f>Y219*100/$Y$237</f>
        <v>0.0118894527433384</v>
      </c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</row>
    <row r="220" ht="25.5" customHeight="1">
      <c r="A220" s="16"/>
      <c r="B220" t="s" s="17">
        <v>25</v>
      </c>
      <c r="C220" t="s" s="31">
        <v>90</v>
      </c>
      <c r="D220" t="s" s="58">
        <v>122</v>
      </c>
      <c r="E220" t="s" s="58">
        <v>146</v>
      </c>
      <c r="F220" t="s" s="62">
        <v>147</v>
      </c>
      <c r="G220" t="s" s="60">
        <v>125</v>
      </c>
      <c r="H220" s="23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61">
        <v>4900</v>
      </c>
      <c r="V220" s="27">
        <v>35</v>
      </c>
      <c r="W220" s="28">
        <v>22</v>
      </c>
      <c r="X220" s="29">
        <f>SUM(V220,W220)</f>
        <v>57</v>
      </c>
      <c r="Y220" s="27">
        <f>X220*U220</f>
        <v>279300</v>
      </c>
      <c r="Z220" s="29">
        <f>Y220*100/$Y$237</f>
        <v>0.19032119161018</v>
      </c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</row>
    <row r="221" ht="25.5" customHeight="1">
      <c r="A221" s="16"/>
      <c r="B221" t="s" s="17">
        <v>25</v>
      </c>
      <c r="C221" t="s" s="31">
        <v>90</v>
      </c>
      <c r="D221" t="s" s="58">
        <v>122</v>
      </c>
      <c r="E221" t="s" s="58">
        <v>146</v>
      </c>
      <c r="F221" t="s" s="62">
        <v>148</v>
      </c>
      <c r="G221" t="s" s="60">
        <v>125</v>
      </c>
      <c r="H221" s="23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61">
        <v>250</v>
      </c>
      <c r="V221" s="27">
        <v>29.5</v>
      </c>
      <c r="W221" s="28">
        <v>22</v>
      </c>
      <c r="X221" s="29">
        <f>SUM(V221,W221)</f>
        <v>51.5</v>
      </c>
      <c r="Y221" s="27">
        <f>X221*U221</f>
        <v>12875</v>
      </c>
      <c r="Z221" s="29">
        <f>Y221*100/$Y$237</f>
        <v>0.0087733094950987</v>
      </c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</row>
    <row r="222" ht="25.5" customHeight="1">
      <c r="A222" s="16"/>
      <c r="B222" t="s" s="17">
        <v>25</v>
      </c>
      <c r="C222" t="s" s="31">
        <v>90</v>
      </c>
      <c r="D222" t="s" s="58">
        <v>122</v>
      </c>
      <c r="E222" t="s" s="58">
        <v>146</v>
      </c>
      <c r="F222" t="s" s="62">
        <v>149</v>
      </c>
      <c r="G222" t="s" s="60">
        <v>132</v>
      </c>
      <c r="H222" s="23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61">
        <v>74</v>
      </c>
      <c r="V222" s="27">
        <v>87.5</v>
      </c>
      <c r="W222" s="28">
        <v>65</v>
      </c>
      <c r="X222" s="29">
        <f>SUM(V222,W222)</f>
        <v>152.5</v>
      </c>
      <c r="Y222" s="27">
        <f>X222*U222</f>
        <v>11285</v>
      </c>
      <c r="Z222" s="29">
        <f>Y222*100/$Y$237</f>
        <v>0.00768984836133505</v>
      </c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</row>
    <row r="223" ht="25.5" customHeight="1">
      <c r="A223" s="16"/>
      <c r="B223" t="s" s="17">
        <v>25</v>
      </c>
      <c r="C223" t="s" s="31">
        <v>90</v>
      </c>
      <c r="D223" t="s" s="58">
        <v>122</v>
      </c>
      <c r="E223" t="s" s="58">
        <v>146</v>
      </c>
      <c r="F223" t="s" s="62">
        <v>134</v>
      </c>
      <c r="G223" t="s" s="60">
        <v>135</v>
      </c>
      <c r="H223" s="23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61">
        <v>190</v>
      </c>
      <c r="V223" s="27">
        <v>28</v>
      </c>
      <c r="W223" s="28">
        <v>22</v>
      </c>
      <c r="X223" s="29">
        <f>SUM(V223,W223)</f>
        <v>50</v>
      </c>
      <c r="Y223" s="27">
        <f>X223*U223</f>
        <v>9500</v>
      </c>
      <c r="Z223" s="29">
        <f>Y223*100/$Y$237</f>
        <v>0.0064735099187136</v>
      </c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</row>
    <row r="224" ht="25.5" customHeight="1">
      <c r="A224" s="16"/>
      <c r="B224" t="s" s="17">
        <v>25</v>
      </c>
      <c r="C224" t="s" s="31">
        <v>90</v>
      </c>
      <c r="D224" t="s" s="58">
        <v>122</v>
      </c>
      <c r="E224" t="s" s="58">
        <v>146</v>
      </c>
      <c r="F224" t="s" s="62">
        <v>136</v>
      </c>
      <c r="G224" t="s" s="60">
        <v>135</v>
      </c>
      <c r="H224" s="23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61">
        <v>190</v>
      </c>
      <c r="V224" s="27">
        <v>55.5</v>
      </c>
      <c r="W224" s="28">
        <v>43.5</v>
      </c>
      <c r="X224" s="29">
        <f>SUM(V224,W224)</f>
        <v>99</v>
      </c>
      <c r="Y224" s="27">
        <f>X224*U224</f>
        <v>18810</v>
      </c>
      <c r="Z224" s="29">
        <f>Y224*100/$Y$237</f>
        <v>0.0128175496390529</v>
      </c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</row>
    <row r="225" ht="25.5" customHeight="1">
      <c r="A225" s="16"/>
      <c r="B225" t="s" s="17">
        <v>25</v>
      </c>
      <c r="C225" t="s" s="31">
        <v>90</v>
      </c>
      <c r="D225" t="s" s="58">
        <v>122</v>
      </c>
      <c r="E225" t="s" s="58">
        <v>146</v>
      </c>
      <c r="F225" t="s" s="63">
        <v>137</v>
      </c>
      <c r="G225" t="s" s="60">
        <v>135</v>
      </c>
      <c r="H225" s="23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61">
        <v>190</v>
      </c>
      <c r="V225" s="27">
        <v>175</v>
      </c>
      <c r="W225" s="28">
        <v>43.5</v>
      </c>
      <c r="X225" s="29">
        <f>SUM(V225,W225)</f>
        <v>218.5</v>
      </c>
      <c r="Y225" s="27">
        <f>X225*U225</f>
        <v>41515</v>
      </c>
      <c r="Z225" s="29">
        <f>Y225*100/$Y$237</f>
        <v>0.0282892383447784</v>
      </c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</row>
    <row r="226" ht="25.5" customHeight="1">
      <c r="A226" s="16"/>
      <c r="B226" t="s" s="17">
        <v>25</v>
      </c>
      <c r="C226" t="s" s="31">
        <v>90</v>
      </c>
      <c r="D226" t="s" s="58">
        <v>122</v>
      </c>
      <c r="E226" t="s" s="58">
        <v>146</v>
      </c>
      <c r="F226" t="s" s="59">
        <v>138</v>
      </c>
      <c r="G226" t="s" s="60">
        <v>135</v>
      </c>
      <c r="H226" s="23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61">
        <v>190</v>
      </c>
      <c r="V226" s="27">
        <v>0</v>
      </c>
      <c r="W226" s="28">
        <v>29</v>
      </c>
      <c r="X226" s="29">
        <f>SUM(V226,W226)</f>
        <v>29</v>
      </c>
      <c r="Y226" s="27">
        <f>X226*U226</f>
        <v>5510</v>
      </c>
      <c r="Z226" s="29">
        <f>Y226*100/$Y$237</f>
        <v>0.00375463575285389</v>
      </c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</row>
    <row r="227" ht="25.5" customHeight="1">
      <c r="A227" s="16"/>
      <c r="B227" t="s" s="17">
        <v>25</v>
      </c>
      <c r="C227" t="s" s="31">
        <v>90</v>
      </c>
      <c r="D227" t="s" s="58">
        <v>122</v>
      </c>
      <c r="E227" t="s" s="58">
        <v>150</v>
      </c>
      <c r="F227" t="s" s="62">
        <v>151</v>
      </c>
      <c r="G227" t="s" s="60">
        <v>125</v>
      </c>
      <c r="H227" s="23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61">
        <v>37590</v>
      </c>
      <c r="V227" s="27">
        <v>35</v>
      </c>
      <c r="W227" s="28">
        <v>22</v>
      </c>
      <c r="X227" s="29">
        <f>SUM(V227,W227)</f>
        <v>57</v>
      </c>
      <c r="Y227" s="27">
        <f>X227*U227</f>
        <v>2142630</v>
      </c>
      <c r="Z227" s="29">
        <f>Y227*100/$Y$237</f>
        <v>1.46003542706667</v>
      </c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</row>
    <row r="228" ht="25.5" customHeight="1">
      <c r="A228" s="16"/>
      <c r="B228" t="s" s="17">
        <v>25</v>
      </c>
      <c r="C228" t="s" s="31">
        <v>90</v>
      </c>
      <c r="D228" t="s" s="58">
        <v>122</v>
      </c>
      <c r="E228" t="s" s="58">
        <v>150</v>
      </c>
      <c r="F228" t="s" s="62">
        <v>127</v>
      </c>
      <c r="G228" t="s" s="60">
        <v>125</v>
      </c>
      <c r="H228" s="23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61">
        <v>24300</v>
      </c>
      <c r="V228" s="27">
        <v>35</v>
      </c>
      <c r="W228" s="28">
        <v>22</v>
      </c>
      <c r="X228" s="29">
        <f>SUM(V228,W228)</f>
        <v>57</v>
      </c>
      <c r="Y228" s="27">
        <f>X228*U228</f>
        <v>1385100</v>
      </c>
      <c r="Z228" s="29">
        <f>Y228*100/$Y$237</f>
        <v>0.943837746148443</v>
      </c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</row>
    <row r="229" ht="25.5" customHeight="1">
      <c r="A229" s="16"/>
      <c r="B229" t="s" s="17">
        <v>25</v>
      </c>
      <c r="C229" t="s" s="31">
        <v>90</v>
      </c>
      <c r="D229" t="s" s="58">
        <v>122</v>
      </c>
      <c r="E229" t="s" s="58">
        <v>150</v>
      </c>
      <c r="F229" t="s" s="62">
        <v>152</v>
      </c>
      <c r="G229" t="s" s="60">
        <v>125</v>
      </c>
      <c r="H229" s="23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61">
        <v>10100</v>
      </c>
      <c r="V229" s="27">
        <v>30.5</v>
      </c>
      <c r="W229" s="28">
        <v>22</v>
      </c>
      <c r="X229" s="29">
        <f>SUM(V229,W229)</f>
        <v>52.5</v>
      </c>
      <c r="Y229" s="27">
        <f>X229*U229</f>
        <v>530250</v>
      </c>
      <c r="Z229" s="29">
        <f>Y229*100/$Y$237</f>
        <v>0.361324066778725</v>
      </c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</row>
    <row r="230" ht="25.5" customHeight="1">
      <c r="A230" s="16"/>
      <c r="B230" t="s" s="17">
        <v>25</v>
      </c>
      <c r="C230" t="s" s="31">
        <v>90</v>
      </c>
      <c r="D230" t="s" s="58">
        <v>122</v>
      </c>
      <c r="E230" t="s" s="58">
        <v>150</v>
      </c>
      <c r="F230" t="s" s="62">
        <v>129</v>
      </c>
      <c r="G230" t="s" s="60">
        <v>125</v>
      </c>
      <c r="H230" s="23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61">
        <v>6710</v>
      </c>
      <c r="V230" s="27">
        <v>30.5</v>
      </c>
      <c r="W230" s="28">
        <v>22</v>
      </c>
      <c r="X230" s="29">
        <f>SUM(V230,W230)</f>
        <v>52.5</v>
      </c>
      <c r="Y230" s="27">
        <f>X230*U230</f>
        <v>352275</v>
      </c>
      <c r="Z230" s="29">
        <f>Y230*100/$Y$237</f>
        <v>0.240047969117351</v>
      </c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</row>
    <row r="231" ht="25.5" customHeight="1">
      <c r="A231" s="16"/>
      <c r="B231" t="s" s="17">
        <v>25</v>
      </c>
      <c r="C231" t="s" s="31">
        <v>90</v>
      </c>
      <c r="D231" t="s" s="58">
        <v>122</v>
      </c>
      <c r="E231" t="s" s="58">
        <v>150</v>
      </c>
      <c r="F231" t="s" s="62">
        <v>153</v>
      </c>
      <c r="G231" t="s" s="60">
        <v>132</v>
      </c>
      <c r="H231" s="23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61">
        <v>5300</v>
      </c>
      <c r="V231" s="27">
        <v>82</v>
      </c>
      <c r="W231" s="28">
        <v>45</v>
      </c>
      <c r="X231" s="29">
        <f>SUM(V231,W231)</f>
        <v>127</v>
      </c>
      <c r="Y231" s="27">
        <f>X231*U231</f>
        <v>673100</v>
      </c>
      <c r="Z231" s="29">
        <f>Y231*100/$Y$237</f>
        <v>0.458665213293276</v>
      </c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</row>
    <row r="232" ht="25.5" customHeight="1">
      <c r="A232" s="16"/>
      <c r="B232" t="s" s="17">
        <v>25</v>
      </c>
      <c r="C232" t="s" s="31">
        <v>90</v>
      </c>
      <c r="D232" t="s" s="58">
        <v>122</v>
      </c>
      <c r="E232" t="s" s="58">
        <v>150</v>
      </c>
      <c r="F232" t="s" s="62">
        <v>154</v>
      </c>
      <c r="G232" t="s" s="60">
        <v>135</v>
      </c>
      <c r="H232" s="23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61">
        <v>50</v>
      </c>
      <c r="V232" s="27">
        <v>1224.5</v>
      </c>
      <c r="W232" s="28">
        <v>647</v>
      </c>
      <c r="X232" s="29">
        <f>SUM(V232,W232)</f>
        <v>1871.5</v>
      </c>
      <c r="Y232" s="27">
        <f>X232*U232</f>
        <v>93575</v>
      </c>
      <c r="Z232" s="29">
        <f>Y232*100/$Y$237</f>
        <v>0.063764072699329</v>
      </c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</row>
    <row r="233" ht="25.5" customHeight="1">
      <c r="A233" s="16"/>
      <c r="B233" t="s" s="17">
        <v>25</v>
      </c>
      <c r="C233" t="s" s="31">
        <v>90</v>
      </c>
      <c r="D233" t="s" s="58">
        <v>122</v>
      </c>
      <c r="E233" t="s" s="58">
        <v>150</v>
      </c>
      <c r="F233" t="s" s="62">
        <v>134</v>
      </c>
      <c r="G233" t="s" s="60">
        <v>135</v>
      </c>
      <c r="H233" s="23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61">
        <v>2170</v>
      </c>
      <c r="V233" s="27">
        <v>28</v>
      </c>
      <c r="W233" s="28">
        <v>22</v>
      </c>
      <c r="X233" s="29">
        <f>SUM(V233,W233)</f>
        <v>50</v>
      </c>
      <c r="Y233" s="27">
        <f>X233*U233</f>
        <v>108500</v>
      </c>
      <c r="Z233" s="29">
        <f>Y233*100/$Y$237</f>
        <v>0.0739342974926764</v>
      </c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</row>
    <row r="234" ht="25.5" customHeight="1">
      <c r="A234" s="16"/>
      <c r="B234" t="s" s="17">
        <v>25</v>
      </c>
      <c r="C234" t="s" s="31">
        <v>90</v>
      </c>
      <c r="D234" t="s" s="58">
        <v>122</v>
      </c>
      <c r="E234" t="s" s="58">
        <v>150</v>
      </c>
      <c r="F234" t="s" s="62">
        <v>136</v>
      </c>
      <c r="G234" t="s" s="60">
        <v>135</v>
      </c>
      <c r="H234" s="23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61">
        <v>2170</v>
      </c>
      <c r="V234" s="27">
        <v>55.5</v>
      </c>
      <c r="W234" s="28">
        <v>43.5</v>
      </c>
      <c r="X234" s="29">
        <f>SUM(V234,W234)</f>
        <v>99</v>
      </c>
      <c r="Y234" s="27">
        <f>X234*U234</f>
        <v>214830</v>
      </c>
      <c r="Z234" s="29">
        <f>Y234*100/$Y$237</f>
        <v>0.146389909035499</v>
      </c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</row>
    <row r="235" ht="25.5" customHeight="1">
      <c r="A235" s="16"/>
      <c r="B235" t="s" s="17">
        <v>25</v>
      </c>
      <c r="C235" t="s" s="31">
        <v>90</v>
      </c>
      <c r="D235" t="s" s="58">
        <v>122</v>
      </c>
      <c r="E235" t="s" s="58">
        <v>150</v>
      </c>
      <c r="F235" t="s" s="62">
        <v>137</v>
      </c>
      <c r="G235" t="s" s="60">
        <v>135</v>
      </c>
      <c r="H235" s="23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61">
        <v>2170</v>
      </c>
      <c r="V235" s="27">
        <v>175</v>
      </c>
      <c r="W235" s="28">
        <v>72</v>
      </c>
      <c r="X235" s="29">
        <f>SUM(V235,W235)</f>
        <v>247</v>
      </c>
      <c r="Y235" s="27">
        <f>X235*U235</f>
        <v>535990</v>
      </c>
      <c r="Z235" s="29">
        <f>Y235*100/$Y$237</f>
        <v>0.365235429613821</v>
      </c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</row>
    <row r="236" ht="25.5" customHeight="1">
      <c r="A236" s="64"/>
      <c r="B236" t="s" s="17">
        <v>25</v>
      </c>
      <c r="C236" t="s" s="31">
        <v>90</v>
      </c>
      <c r="D236" t="s" s="58">
        <v>122</v>
      </c>
      <c r="E236" t="s" s="58">
        <v>150</v>
      </c>
      <c r="F236" t="s" s="62">
        <v>138</v>
      </c>
      <c r="G236" t="s" s="60">
        <v>135</v>
      </c>
      <c r="H236" s="23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61">
        <v>2170</v>
      </c>
      <c r="V236" s="27">
        <v>0</v>
      </c>
      <c r="W236" s="28">
        <v>29</v>
      </c>
      <c r="X236" s="29">
        <f>SUM(V236,W236)</f>
        <v>29</v>
      </c>
      <c r="Y236" s="27">
        <f>X236*U236</f>
        <v>62930</v>
      </c>
      <c r="Z236" s="29">
        <f>Y236*100/$Y$237</f>
        <v>0.0428818925457523</v>
      </c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</row>
    <row r="237" ht="25.5" customHeight="1">
      <c r="A237" s="65"/>
      <c r="B237" s="17"/>
      <c r="C237" s="31"/>
      <c r="D237" s="58"/>
      <c r="E237" s="58"/>
      <c r="F237" s="62"/>
      <c r="G237" s="60"/>
      <c r="H237" s="23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61"/>
      <c r="V237" s="27"/>
      <c r="W237" s="28"/>
      <c r="X237" s="29"/>
      <c r="Y237" s="30">
        <f>SUM(Y2:Y236)</f>
        <v>146751918.5</v>
      </c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</row>
  </sheetData>
  <conditionalFormatting sqref="H2:U97 U98:U115 H116:U126 U127:U155 H156:U237 Y202">
    <cfRule type="cellIs" dxfId="0" priority="1" operator="lessThan" stopIfTrue="1">
      <formula>0</formula>
    </cfRule>
  </conditionalFormatting>
  <pageMargins left="0.19685" right="0.19685" top="0.393701" bottom="0.590551" header="0.19685" footer="0.1968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